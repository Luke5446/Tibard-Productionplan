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ms List" sheetId="1" r:id="rId5"/>
  </sheets>
  <definedNames/>
  <calcPr/>
</workbook>
</file>

<file path=xl/sharedStrings.xml><?xml version="1.0" encoding="utf-8"?>
<sst xmlns="http://schemas.openxmlformats.org/spreadsheetml/2006/main" count="737" uniqueCount="361">
  <si>
    <t>Suggested item</t>
  </si>
  <si>
    <t>Group</t>
  </si>
  <si>
    <t>Styles using</t>
  </si>
  <si>
    <t>Trim lines merged</t>
  </si>
  <si>
    <t>Supplier code</t>
  </si>
  <si>
    <t>Last PO</t>
  </si>
  <si>
    <t>Customer</t>
  </si>
  <si>
    <t>Supplier</t>
  </si>
  <si>
    <t>Number of units purchased</t>
  </si>
  <si>
    <t>price per units purchased</t>
  </si>
  <si>
    <t>measure of unit used</t>
  </si>
  <si>
    <t>New Sage code</t>
  </si>
  <si>
    <t>Unit cost (GBP)</t>
  </si>
  <si>
    <t>CJ average usage per garment</t>
  </si>
  <si>
    <t>AP average usage per garment</t>
  </si>
  <si>
    <t>CT average usage per garment</t>
  </si>
  <si>
    <t>HT average usage per garment</t>
  </si>
  <si>
    <t>Notes</t>
  </si>
  <si>
    <t>Buckle</t>
  </si>
  <si>
    <t>Buckles, sliders &amp; rings</t>
  </si>
  <si>
    <t>OHBRASSBUCKLE</t>
  </si>
  <si>
    <t>£0.06448</t>
  </si>
  <si>
    <t xml:space="preserve">Antique bras 25mm d ring </t>
  </si>
  <si>
    <t xml:space="preserve">D Ring </t>
  </si>
  <si>
    <t>DRING/25MM/ANT</t>
  </si>
  <si>
    <t xml:space="preserve">NEW LACE </t>
  </si>
  <si>
    <t>Each</t>
  </si>
  <si>
    <t>CMP-DR25-931</t>
  </si>
  <si>
    <t>Antique brass tri glide slider buckle 25mm</t>
  </si>
  <si>
    <t>Asked Gail to see if Newlace can send us the invoice as accounts cannot find it</t>
  </si>
  <si>
    <t>Antique brass sliders (double brass slider) FLAT BAR</t>
  </si>
  <si>
    <t>No Supplier code or last PO</t>
  </si>
  <si>
    <t>Leather trim</t>
  </si>
  <si>
    <t>Tibard</t>
  </si>
  <si>
    <t>If this is cut from general Leather then  it should just be a usage of the leather code instead of a new code</t>
  </si>
  <si>
    <t>D ring bronze 32mm</t>
  </si>
  <si>
    <t>CMP-DR32-N254-287</t>
  </si>
  <si>
    <t>£0.34510</t>
  </si>
  <si>
    <t>Stud fastened neck strap</t>
  </si>
  <si>
    <t>Studs</t>
  </si>
  <si>
    <t>?</t>
  </si>
  <si>
    <t>Black 20mm waistcoat buckle</t>
  </si>
  <si>
    <t xml:space="preserve">using old stock </t>
  </si>
  <si>
    <t>Antique Brass 40mm Dungaree Clip Flap</t>
  </si>
  <si>
    <t>Newlace</t>
  </si>
  <si>
    <t>CMP-DCF-DCW40-40-931</t>
  </si>
  <si>
    <t xml:space="preserve">Large bronze studs male part set to apron </t>
  </si>
  <si>
    <t>DRK9BSTUDXL(NL)</t>
  </si>
  <si>
    <t>YKK</t>
  </si>
  <si>
    <t>CMP-STD-PST-9B-287</t>
  </si>
  <si>
    <t xml:space="preserve">Large bronze post female part set to apron </t>
  </si>
  <si>
    <t>DRn01001349BpostXL(NL)</t>
  </si>
  <si>
    <t>CMP-STD-SOC-9B-287</t>
  </si>
  <si>
    <t>Button</t>
  </si>
  <si>
    <t>Buttons</t>
  </si>
  <si>
    <t>OHBRASSBUTTON</t>
  </si>
  <si>
    <t>£0.03600</t>
  </si>
  <si>
    <t>Oh brass button</t>
  </si>
  <si>
    <t>twos international</t>
  </si>
  <si>
    <t>White detachable chef jacket button</t>
  </si>
  <si>
    <t>OHDETACHABLEBUTTON01</t>
  </si>
  <si>
    <t>Black detachable chef jacket button</t>
  </si>
  <si>
    <t>OHDETACHABLEBUTTON03</t>
  </si>
  <si>
    <t xml:space="preserve">4 hole buttons </t>
  </si>
  <si>
    <t>4 Hole Button- P64/24 Colour- 58 Navy Swirl</t>
  </si>
  <si>
    <t>JONES</t>
  </si>
  <si>
    <t>CMP-BTN-P64-24-15</t>
  </si>
  <si>
    <t>4 hole buttons - Bedfor</t>
  </si>
  <si>
    <t>4 hole buttons - RED</t>
  </si>
  <si>
    <t>P3526/36</t>
  </si>
  <si>
    <t>CMP-BTN-P3536-36-07</t>
  </si>
  <si>
    <t>These also Incure a £20 Dye Charge per order</t>
  </si>
  <si>
    <t>Oh wash care label</t>
  </si>
  <si>
    <t>Care / wash labels</t>
  </si>
  <si>
    <t>NOT JUST BAGS</t>
  </si>
  <si>
    <t>CMP-OH-LBL-WASH-01</t>
  </si>
  <si>
    <t>Care label printed at tibard (gails printer)</t>
  </si>
  <si>
    <t>TIBARD LABEL</t>
  </si>
  <si>
    <t>labels</t>
  </si>
  <si>
    <t>LABELTIB1900</t>
  </si>
  <si>
    <t>BRITISH TAGS</t>
  </si>
  <si>
    <t>TIBARD TAX TAB</t>
  </si>
  <si>
    <t>taxtabtib01</t>
  </si>
  <si>
    <t>TAXTABTIB01</t>
  </si>
  <si>
    <t>TIBARD BACK NECK LABEL</t>
  </si>
  <si>
    <t>labeltib4565</t>
  </si>
  <si>
    <t>LABELTIB4565</t>
  </si>
  <si>
    <t>Additional printed care label - For items with leather</t>
  </si>
  <si>
    <t>Label for garment name and manufacturing month and year only - behind wash label in side seam</t>
  </si>
  <si>
    <t>Printed label - iron on reverse</t>
  </si>
  <si>
    <t>O H Black Cord</t>
  </si>
  <si>
    <t>Cords &amp; toggles</t>
  </si>
  <si>
    <t>CORD/PROP/6MM</t>
  </si>
  <si>
    <t>NEW LACE</t>
  </si>
  <si>
    <t>Meters</t>
  </si>
  <si>
    <t>CMP-CORD-PP6-03</t>
  </si>
  <si>
    <t>Cord ends</t>
  </si>
  <si>
    <t>CROC CLIPS</t>
  </si>
  <si>
    <t>CMP-CLP-CROC-03</t>
  </si>
  <si>
    <t>Toggles</t>
  </si>
  <si>
    <t>/LG/MBLK - BLACK</t>
  </si>
  <si>
    <t>CMP-TGL-SPR-LL-03</t>
  </si>
  <si>
    <t>Elastic 48mm elastic black</t>
  </si>
  <si>
    <t>Elastic</t>
  </si>
  <si>
    <t>BONADEX BLACK ELASTIC</t>
  </si>
  <si>
    <t>BEACON TRIMMINGS</t>
  </si>
  <si>
    <t>CMP-ELA-7001-48-03</t>
  </si>
  <si>
    <t>Elastic 48mm elastic white</t>
  </si>
  <si>
    <t>BONADEX WHITE ELASTIC</t>
  </si>
  <si>
    <t>CMP-ELA-7001-48-01</t>
  </si>
  <si>
    <t>Elastic white 25mm</t>
  </si>
  <si>
    <t>1" WOVEN WHITE ELASTIC</t>
  </si>
  <si>
    <t>CMP-ELA-WOV-25-01</t>
  </si>
  <si>
    <t>Antique brass eyelets 30mm</t>
  </si>
  <si>
    <t>Eyelets</t>
  </si>
  <si>
    <t>30ED/EYELET/ANT</t>
  </si>
  <si>
    <t>CMP-30ED-28-931</t>
  </si>
  <si>
    <t>30mm ring for eyelet antique brass 30mm e/r ab</t>
  </si>
  <si>
    <t>30RD/RING/ANT</t>
  </si>
  <si>
    <t>CMP-30RD-28-931</t>
  </si>
  <si>
    <t>28mm silver eyelets</t>
  </si>
  <si>
    <t>Interlining</t>
  </si>
  <si>
    <t>Interlinings</t>
  </si>
  <si>
    <t>FUS1256</t>
  </si>
  <si>
    <t>ARLEY TRIMMINGS</t>
  </si>
  <si>
    <t>Pos swing tag</t>
  </si>
  <si>
    <t>Labels &amp; branding</t>
  </si>
  <si>
    <t>apple labels</t>
  </si>
  <si>
    <t>OHSWINGTAG</t>
  </si>
  <si>
    <t>Oh woven label</t>
  </si>
  <si>
    <t>LABELOH5771</t>
  </si>
  <si>
    <t>british tags</t>
  </si>
  <si>
    <t>Red oh tax tab</t>
  </si>
  <si>
    <t>TAXTABOH07/01</t>
  </si>
  <si>
    <t>Size label</t>
  </si>
  <si>
    <t>WEAVABEL-1 LABEL FOR ALL SIZES</t>
  </si>
  <si>
    <t>weavabel</t>
  </si>
  <si>
    <t>CMP-OH-LBL-TIB10W-01</t>
  </si>
  <si>
    <t>label printed at tibard</t>
  </si>
  <si>
    <t>White nylon 25mm x 150m White Coated Nylon rolls</t>
  </si>
  <si>
    <t xml:space="preserve">apple labels </t>
  </si>
  <si>
    <t>CMP-LBL-NYL-25-01</t>
  </si>
  <si>
    <t>Antique brass 15mm cap (parts b)</t>
  </si>
  <si>
    <t>Antique brass 15mm cap (parts a)</t>
  </si>
  <si>
    <t>Glassine peel &amp; seal biodegradable bag (68x92cm)</t>
  </si>
  <si>
    <t>Packaging</t>
  </si>
  <si>
    <t>PKG-BAG-GLA-68x92-PS</t>
  </si>
  <si>
    <t>£0.09686</t>
  </si>
  <si>
    <t>Black hanger tape</t>
  </si>
  <si>
    <t>Ribbons &amp; tapes</t>
  </si>
  <si>
    <t>CMP-PIP-08-03</t>
  </si>
  <si>
    <t>Oliver harvey neck ribbon White</t>
  </si>
  <si>
    <t>P-TIB009B</t>
  </si>
  <si>
    <t>WEAVABEL</t>
  </si>
  <si>
    <t>CMP-OH-PIP-TIB009B-01</t>
  </si>
  <si>
    <t xml:space="preserve">SILVER RIVET PRONG </t>
  </si>
  <si>
    <t>Rivets</t>
  </si>
  <si>
    <t>010B/7P</t>
  </si>
  <si>
    <t>Antique brass rivets- nipple rivets</t>
  </si>
  <si>
    <t>011B/AB</t>
  </si>
  <si>
    <t>Antique brass capped studs</t>
  </si>
  <si>
    <t>A15/050B Antique Brass/ H- CAPS</t>
  </si>
  <si>
    <t>Antique brass socket</t>
  </si>
  <si>
    <t>050B/B Antique Brass - SOCKET</t>
  </si>
  <si>
    <t>Antique brass stud</t>
  </si>
  <si>
    <t>Antique Brass STUD - 050B/C</t>
  </si>
  <si>
    <t>Antique brass post</t>
  </si>
  <si>
    <t>Antique Brass POST - 050B/D</t>
  </si>
  <si>
    <t xml:space="preserve">White capped stud - </t>
  </si>
  <si>
    <t>050B/A15</t>
  </si>
  <si>
    <t>White capped stud SOCKET</t>
  </si>
  <si>
    <t>050B/B/SILVER</t>
  </si>
  <si>
    <t>SILVER capped stud</t>
  </si>
  <si>
    <t>050B/C/SILVER</t>
  </si>
  <si>
    <t>SILVER capped stud POST</t>
  </si>
  <si>
    <t>050B/D/SILVER</t>
  </si>
  <si>
    <t>Ring stud - male fitting</t>
  </si>
  <si>
    <t>032b/b</t>
  </si>
  <si>
    <t>new lace</t>
  </si>
  <si>
    <t>CMP-STD-SOC-032B-677</t>
  </si>
  <si>
    <t>Ring stud - female fitting</t>
  </si>
  <si>
    <t>032b/c</t>
  </si>
  <si>
    <t>CMP-STD-DUO-032B-677</t>
  </si>
  <si>
    <t>Ring stud - prong fitting</t>
  </si>
  <si>
    <t>032b/ar</t>
  </si>
  <si>
    <t>CMP-STD-RING-032B-677</t>
  </si>
  <si>
    <t>Apron studs - box marked up ohapp0630 kpln</t>
  </si>
  <si>
    <t>Black capped stud</t>
  </si>
  <si>
    <t>Bronze large studs male part set to apron female part set to leather (use markers)</t>
  </si>
  <si>
    <t>DRK 9B STUD XL7(NL)</t>
  </si>
  <si>
    <t>Bronze large studs female part set to apron female part set to leather (use markers)</t>
  </si>
  <si>
    <t>post</t>
  </si>
  <si>
    <t xml:space="preserve"> 0100134 DRN POST XL7</t>
  </si>
  <si>
    <t>Gilt cap stud 15 mm</t>
  </si>
  <si>
    <t>CMP-STD-CAP-050-929</t>
  </si>
  <si>
    <t>£0.05338</t>
  </si>
  <si>
    <t>somac white thread</t>
  </si>
  <si>
    <t>Thread</t>
  </si>
  <si>
    <t>PERMA CORE 75  20,000MTR CONES OF WHITE</t>
  </si>
  <si>
    <t>somac</t>
  </si>
  <si>
    <t>Thread — Coats Epic 80's Black 09700</t>
  </si>
  <si>
    <t>coats</t>
  </si>
  <si>
    <t>CMP-THR-EP80-09700-03</t>
  </si>
  <si>
    <t>Thread — Coats Epic 80's Navy 07935</t>
  </si>
  <si>
    <t>CMP-THR-EP80-07935-15</t>
  </si>
  <si>
    <t>Thread — Coats Epic 80's Grey 09963</t>
  </si>
  <si>
    <t>Thread — Coats Epic 80's Olive 05742</t>
  </si>
  <si>
    <t xml:space="preserve">CMP-THR-EP80-05742-83 </t>
  </si>
  <si>
    <t>Thread — Coats Epic 80's Grey 09971</t>
  </si>
  <si>
    <t>Thread — Coats Epic 40's Gold 02362</t>
  </si>
  <si>
    <t>5,000MTR CONES OF EPIC 40 02362 SHADE GOLD</t>
  </si>
  <si>
    <t>Thread — Coats Epic 80's Maroon 03912</t>
  </si>
  <si>
    <t>Thread — Coats Epic 80's Biscuit 08569</t>
  </si>
  <si>
    <t>CMP-THR-EP80-08569-68</t>
  </si>
  <si>
    <t>Thread — Coats Epic 80's Aqua 05164</t>
  </si>
  <si>
    <t>Ka Pao</t>
  </si>
  <si>
    <t>CMP-THR-EP80-05164-56</t>
  </si>
  <si>
    <t>Thread — Coats Epic 80's Brown 08975</t>
  </si>
  <si>
    <t>Thread — Coats Epic 80's Grey 09975</t>
  </si>
  <si>
    <t>Thread — Coats Epic 80's Colour TBC 08707</t>
  </si>
  <si>
    <t>Thread — Coats Epic 80's Khaki 08561</t>
  </si>
  <si>
    <t>Thread — Coats Epic 80's Navy 07912</t>
  </si>
  <si>
    <t>Thread — Coats Epic 80's Putty 08561</t>
  </si>
  <si>
    <t>Thread — Coats Epic 75's White</t>
  </si>
  <si>
    <t>Thread — Coats Epic 80's Biscuit 08418</t>
  </si>
  <si>
    <t>Thread — Coats Epic 80's Burgundy 03944</t>
  </si>
  <si>
    <t>Thread — Coats Epic 80's heather  Green 05925</t>
  </si>
  <si>
    <t>Thread — Coats Epic 80's Peat 108896</t>
  </si>
  <si>
    <t>Thread — Coats Epic 80's Red 03860</t>
  </si>
  <si>
    <t>Thread — Terking 50's Navy</t>
  </si>
  <si>
    <t>Thread — Coats Epic 75's Black</t>
  </si>
  <si>
    <t>Thread — Coats Epic 80's Bottle Green 05976</t>
  </si>
  <si>
    <t>Thread — Coats Epic 80's Brown 00228</t>
  </si>
  <si>
    <t>Thread — Coats Epic 80's Burgundy 03922</t>
  </si>
  <si>
    <t>Thread — Coats Epic 80's Charcoal 09939</t>
  </si>
  <si>
    <t>Thread — Coats Epic 80's Colour TBC</t>
  </si>
  <si>
    <t>Thread — Coats Epic 80's Gold 02362</t>
  </si>
  <si>
    <t>Thread — Coats Epic 80's Grey 09404</t>
  </si>
  <si>
    <t>Thread — Coats Epic 80's Grey 09581</t>
  </si>
  <si>
    <t>Thread — Coats Epic 80's Grey 09984</t>
  </si>
  <si>
    <t>Thread — Coats Epic 80's Light Grey</t>
  </si>
  <si>
    <t>Thread — Coats Epic 80's Moss 05767</t>
  </si>
  <si>
    <t>Thread — Coats Epic 80's Navy</t>
  </si>
  <si>
    <t>Thread — Coats Epic 80's Pink 03173</t>
  </si>
  <si>
    <t>Thread — Coats Epic 80's Pink 03897</t>
  </si>
  <si>
    <t>Thread — Coats Epic 80's Rust 08863</t>
  </si>
  <si>
    <t>Thread — Coats Epic 80's Sage 05765</t>
  </si>
  <si>
    <t>Thread — Coats Epic 80's Stone 08335</t>
  </si>
  <si>
    <t>Thread — Coats Epic 80's Yellow 01425</t>
  </si>
  <si>
    <t>OH logo non-tangle tape ties — black</t>
  </si>
  <si>
    <t>Ties &amp; straps</t>
  </si>
  <si>
    <t>£251.71</t>
  </si>
  <si>
    <t>CMP-OH-NTT-25-03</t>
  </si>
  <si>
    <t>2-only on certain styles</t>
  </si>
  <si>
    <t>OH logo non-tangle tape ties — white</t>
  </si>
  <si>
    <t>CMP-OH-NTT-25-01</t>
  </si>
  <si>
    <t>OH logo non-tangle tape ties rolls — black</t>
  </si>
  <si>
    <t>OH logo non-tangle tape ties rolls— white</t>
  </si>
  <si>
    <t>Plain black non-tangle tape ties</t>
  </si>
  <si>
    <t>Black 18mm p/e apron tape cut to 1 mtr lengths</t>
  </si>
  <si>
    <t>NOTTINGHAM NARROW FABRICS</t>
  </si>
  <si>
    <t>Asked Gail to see if Norringham Narrow can send us the invoice as accounts cannot find it</t>
  </si>
  <si>
    <t>Oliver havey waist ties black</t>
  </si>
  <si>
    <t>Packaging — tissue wrap</t>
  </si>
  <si>
    <t>TISSUE</t>
  </si>
  <si>
    <t>PKG-OH-GPS-500X750-01</t>
  </si>
  <si>
    <t>WIDDUPS</t>
  </si>
  <si>
    <t>£36.21</t>
  </si>
  <si>
    <t>£0.07544</t>
  </si>
  <si>
    <t>Velcro 16mm Black</t>
  </si>
  <si>
    <t>Velcro</t>
  </si>
  <si>
    <t>Black 16mm Velcro male/</t>
  </si>
  <si>
    <t>CMP-VEL-HOOK-16-03</t>
  </si>
  <si>
    <t>Velcro 16mm White</t>
  </si>
  <si>
    <t>WHITE 16mm Velcro male/</t>
  </si>
  <si>
    <t>CMP-VEL-HOOK-16-01</t>
  </si>
  <si>
    <t>Black velcro 20mm hook and  cut 4cm</t>
  </si>
  <si>
    <t>Black Velcro 20mm Male (Hook)</t>
  </si>
  <si>
    <t>White velcro 20mm LOOP and  cut 4cm</t>
  </si>
  <si>
    <t>Black 20mm Velcro Female Loop</t>
  </si>
  <si>
    <t>Black polypropylene webbing 25mm cmp-web-pu-25-03</t>
  </si>
  <si>
    <t>Webbing</t>
  </si>
  <si>
    <t>CMP-WEB-PU-25-03</t>
  </si>
  <si>
    <t>Bottle green polypropylene webbing 25mm cmp-web-pu-25-24</t>
  </si>
  <si>
    <t>CMP-WEB-PU-25-24</t>
  </si>
  <si>
    <t>Brown polypropylene webbing 25mm cmp-web-pu-25-82</t>
  </si>
  <si>
    <t>CMP-WEB-PU-25-82</t>
  </si>
  <si>
    <t>Burgundy polypropylene webbing 25mm cmp-web-pu-25-06</t>
  </si>
  <si>
    <t>CMP-WEB-PU-25-06</t>
  </si>
  <si>
    <t>Dark grey polypropylene webbing 25mm cmp-web-pu-25-14</t>
  </si>
  <si>
    <t>CMP-WEB-PU-25-14</t>
  </si>
  <si>
    <t>Navy polypropylene webbing 25mm cmp-web-pu-25-15</t>
  </si>
  <si>
    <t>CMP-WEB-PU-25-15</t>
  </si>
  <si>
    <t>Olive polypropylene webbing 25mm cmp-web-pu-25-83</t>
  </si>
  <si>
    <t>CMP-WEB-PU-25-83</t>
  </si>
  <si>
    <t>Pink polypropylene webbing 25mm cmp-web-pu-25-04</t>
  </si>
  <si>
    <t>CMP-WEB-PU-25-04</t>
  </si>
  <si>
    <t>Rainbow polypropylene webbing 25mm cmp-web-pu-25-921</t>
  </si>
  <si>
    <t>CMP-WEB-PU-25-921</t>
  </si>
  <si>
    <t>Sand polypropylene webbing 25mm cmp-web-pu-25-131</t>
  </si>
  <si>
    <t>CMP-WEB-PU-25-131</t>
  </si>
  <si>
    <t>Silver grey polypropylene webbing 25mm cmp-web-pu-25-286</t>
  </si>
  <si>
    <t>CMP-WEB-PU-25-286</t>
  </si>
  <si>
    <t>White polypropylene webbing 25mm cmp-web-pu-25-01</t>
  </si>
  <si>
    <t>CMP-WEB-PU-25-01</t>
  </si>
  <si>
    <t>Yellow polypropylene webbing 25mm cmp-web-pu-25-11</t>
  </si>
  <si>
    <t>CMP-WEB-PU-25-11</t>
  </si>
  <si>
    <t>Zip 5" Chunky Black zip</t>
  </si>
  <si>
    <t>Zips</t>
  </si>
  <si>
    <t>VSC56C/5/13580</t>
  </si>
  <si>
    <t>£33.93</t>
  </si>
  <si>
    <t>£0.34</t>
  </si>
  <si>
    <t>Zip 6" Chunky Black zip</t>
  </si>
  <si>
    <t>VSC56C/6/13580</t>
  </si>
  <si>
    <t>£44.93</t>
  </si>
  <si>
    <t>£0.45</t>
  </si>
  <si>
    <t>Antique brass zip 7"</t>
  </si>
  <si>
    <t>MGKBC56/7/18</t>
  </si>
  <si>
    <t>£38.88</t>
  </si>
  <si>
    <t>£0.39</t>
  </si>
  <si>
    <t>Single open end zip - moulded size 5 - white</t>
  </si>
  <si>
    <t xml:space="preserve"> 5" zips with white nylon moulded (Chuncky) teeth</t>
  </si>
  <si>
    <t>CMP-VSC56N-130-01</t>
  </si>
  <si>
    <t>Black 13cm mediumweight spiral zip</t>
  </si>
  <si>
    <t>CMP-ZIP-CNC56C-130-03</t>
  </si>
  <si>
    <t>Black  15cmmediumweight spiral zip</t>
  </si>
  <si>
    <t>CMP-ZIP-CNC56C-150-03</t>
  </si>
  <si>
    <t>Single open end zip - moulded size 5 - black</t>
  </si>
  <si>
    <t>V5CS6C/5/13580 Black - 5"</t>
  </si>
  <si>
    <t>Ykk zip black metal teeth no. 5 weight 7"</t>
  </si>
  <si>
    <t>YGRKC/36/13</t>
  </si>
  <si>
    <t>£0.00</t>
  </si>
  <si>
    <t>Ykk zip black metal teeth no. 5 weight 8"</t>
  </si>
  <si>
    <t>ygrkc/36/15.5</t>
  </si>
  <si>
    <t>White single open end zip moulded teeth 51CM</t>
  </si>
  <si>
    <t>BG-AGCO-OEV5056K</t>
  </si>
  <si>
    <t>£71.74</t>
  </si>
  <si>
    <t>£0.72</t>
  </si>
  <si>
    <t>White single open end zip moulded teeth 54CM</t>
  </si>
  <si>
    <t>£73.56</t>
  </si>
  <si>
    <t>£0.74</t>
  </si>
  <si>
    <t>Single open end zip - moulded size 6 - white</t>
  </si>
  <si>
    <t xml:space="preserve"> 6"  15CM   ZIPS OPTION CHUNKY WHITE</t>
  </si>
  <si>
    <t xml:space="preserve">6" bLACK NYLON ZIPS </t>
  </si>
  <si>
    <t>ZIPS</t>
  </si>
  <si>
    <t>AFC36C/6/15 - 6" BLACK NYLON ZIPS</t>
  </si>
  <si>
    <t>Oliver havey waist ties white</t>
  </si>
  <si>
    <t>TAPE/NTT/OLHA/WHITE</t>
  </si>
  <si>
    <t>CLEAR RECYCLED POLYTHENE BAG</t>
  </si>
  <si>
    <t>LRPB-100-1218-PWN</t>
  </si>
  <si>
    <t>Wessex Packaging</t>
  </si>
  <si>
    <t>PKG-BAG-LRPB-12x18-934</t>
  </si>
  <si>
    <t>Wagamama Tax Tab</t>
  </si>
  <si>
    <t>Tax Tab</t>
  </si>
  <si>
    <t>MM1128</t>
  </si>
  <si>
    <t>Not Just Bags</t>
  </si>
  <si>
    <t>TAXTABWAG07/01</t>
  </si>
  <si>
    <t>Oliver harvey neck ribbon Black</t>
  </si>
  <si>
    <t>P-TIB0011B</t>
  </si>
  <si>
    <t>Weavabel</t>
  </si>
  <si>
    <t>CMP-OH-PIP-TIB0011B-03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</si>
</sst>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FFFF"/>
      <name val="Arial"/>
    </font>
    <font>
      <color theme="1"/>
      <name val="Arial"/>
      <scheme val="minor"/>
    </font>
    <font>
      <sz val="12.0"/>
      <color rgb="FFFFFFFF"/>
      <name val="Arial"/>
      <scheme val="minor"/>
    </font>
    <font>
      <sz val="12.0"/>
      <color theme="1"/>
      <name val="Arial"/>
    </font>
    <font>
      <sz val="12.0"/>
      <color rgb="FF000000"/>
      <name val="Calibri"/>
    </font>
    <font>
      <sz val="12.0"/>
      <color theme="1"/>
      <name val="Arial"/>
      <scheme val="minor"/>
    </font>
    <font>
      <sz val="11.0"/>
      <color theme="1"/>
      <name val="&quot;Calibri&quot;"/>
    </font>
  </fonts>
  <fills count="5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7BEC8"/>
      </left>
      <right style="thin">
        <color rgb="FFB7BEC8"/>
      </right>
      <top style="thin">
        <color rgb="FFB7BEC8"/>
      </top>
      <bottom style="thin">
        <color rgb="FFB7BEC8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horizontal="center" readingOrder="0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1" fillId="3" fontId="4" numFmtId="0" xfId="0" applyAlignment="1" applyBorder="1" applyFill="1" applyFont="1">
      <alignment horizontal="center" readingOrder="0" shrinkToFit="0" vertical="top" wrapText="1"/>
    </xf>
    <xf borderId="0" fillId="0" fontId="5" numFmtId="0" xfId="0" applyAlignment="1" applyFont="1">
      <alignment horizontal="center" shrinkToFit="0" vertical="bottom" wrapText="1"/>
    </xf>
    <xf borderId="0" fillId="0" fontId="2" numFmtId="0" xfId="0" applyAlignment="1" applyFont="1">
      <alignment shrinkToFit="0" wrapText="1"/>
    </xf>
    <xf borderId="1" fillId="3" fontId="4" numFmtId="0" xfId="0" applyAlignment="1" applyBorder="1" applyFill="1" applyFont="1">
      <alignment horizontal="center" shrinkToFit="0" vertical="top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3" fontId="6" numFmtId="0" xfId="0" applyAlignment="1" applyFill="1" applyFont="1">
      <alignment horizontal="center" readingOrder="0" shrinkToFit="0" wrapText="1"/>
    </xf>
    <xf borderId="0" fillId="0" fontId="5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readingOrder="0"/>
    </xf>
    <xf borderId="1" fillId="4" fontId="4" numFmtId="0" xfId="0" applyAlignment="1" applyBorder="1" applyFill="1" applyFont="1">
      <alignment horizontal="center" readingOrder="0" shrinkToFit="0" vertical="top" wrapText="1"/>
    </xf>
    <xf borderId="0" fillId="0" fontId="7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wrapText="1"/>
    </xf>
    <xf borderId="0" fillId="0" fontId="6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6.88"/>
    <col customWidth="1" min="5" max="5" width="26.88"/>
    <col customWidth="1" min="7" max="7" width="13.25"/>
    <col customWidth="1" min="9" max="9" width="14.63"/>
    <col customWidth="1" min="10" max="10" width="14.0"/>
    <col customWidth="1" min="13" max="13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5" t="s">
        <v>17</v>
      </c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6" t="s">
        <v>18</v>
      </c>
      <c r="B3" s="7" t="s">
        <v>19</v>
      </c>
      <c r="C3" s="7">
        <v>20.0</v>
      </c>
      <c r="D3" s="7">
        <v>3.0</v>
      </c>
      <c r="E3" s="8"/>
      <c r="F3" s="8"/>
      <c r="G3" s="8"/>
      <c r="H3" s="8"/>
      <c r="I3" s="8"/>
      <c r="J3" s="8"/>
      <c r="K3" s="8"/>
      <c r="L3" s="9" t="s">
        <v>20</v>
      </c>
      <c r="M3" s="9" t="s">
        <v>21</v>
      </c>
      <c r="N3" s="10"/>
      <c r="O3" s="10"/>
      <c r="P3" s="10"/>
      <c r="Q3" s="10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A4" s="6" t="s">
        <v>22</v>
      </c>
      <c r="B4" s="7" t="s">
        <v>23</v>
      </c>
      <c r="C4" s="7"/>
      <c r="D4" s="7"/>
      <c r="E4" s="7" t="s">
        <v>24</v>
      </c>
      <c r="F4" s="7"/>
      <c r="G4" s="7"/>
      <c r="H4" s="7" t="s">
        <v>25</v>
      </c>
      <c r="I4" s="7">
        <v>1000.0</v>
      </c>
      <c r="J4" s="7">
        <v>67.34</v>
      </c>
      <c r="K4" s="7" t="s">
        <v>26</v>
      </c>
      <c r="L4" s="9" t="s">
        <v>27</v>
      </c>
      <c r="M4" s="12">
        <f t="shared" ref="M4:M6" si="1">J4/I4</f>
        <v>0.06734</v>
      </c>
      <c r="N4" s="10"/>
      <c r="O4" s="10"/>
      <c r="P4" s="10"/>
      <c r="Q4" s="10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6" t="s">
        <v>28</v>
      </c>
      <c r="B5" s="7" t="s">
        <v>19</v>
      </c>
      <c r="C5" s="7">
        <v>8.0</v>
      </c>
      <c r="D5" s="7">
        <v>3.0</v>
      </c>
      <c r="F5" s="7">
        <v>702404.0</v>
      </c>
      <c r="G5" s="7"/>
      <c r="H5" s="7" t="s">
        <v>25</v>
      </c>
      <c r="I5" s="7">
        <v>1000.0</v>
      </c>
      <c r="J5" s="7">
        <v>108.75</v>
      </c>
      <c r="K5" s="7" t="s">
        <v>26</v>
      </c>
      <c r="L5" s="12"/>
      <c r="M5" s="12">
        <f t="shared" si="1"/>
        <v>0.10875</v>
      </c>
      <c r="N5" s="10"/>
      <c r="O5" s="10"/>
      <c r="P5" s="10"/>
      <c r="Q5" s="10"/>
      <c r="R5" s="13" t="s">
        <v>29</v>
      </c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6" t="s">
        <v>30</v>
      </c>
      <c r="B6" s="7" t="s">
        <v>19</v>
      </c>
      <c r="C6" s="7">
        <v>5.0</v>
      </c>
      <c r="D6" s="7">
        <v>2.0</v>
      </c>
      <c r="E6" s="8"/>
      <c r="F6" s="7"/>
      <c r="G6" s="7"/>
      <c r="H6" s="7" t="s">
        <v>25</v>
      </c>
      <c r="I6" s="7">
        <v>1000.0</v>
      </c>
      <c r="J6" s="7">
        <v>183.75</v>
      </c>
      <c r="K6" s="7" t="s">
        <v>26</v>
      </c>
      <c r="L6" s="12"/>
      <c r="M6" s="12">
        <f t="shared" si="1"/>
        <v>0.18375</v>
      </c>
      <c r="N6" s="10"/>
      <c r="O6" s="10"/>
      <c r="P6" s="10"/>
      <c r="Q6" s="10"/>
      <c r="R6" s="13" t="s">
        <v>31</v>
      </c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6" t="s">
        <v>32</v>
      </c>
      <c r="B7" s="7" t="s">
        <v>19</v>
      </c>
      <c r="C7" s="7">
        <v>3.0</v>
      </c>
      <c r="D7" s="7">
        <v>1.0</v>
      </c>
      <c r="E7" s="8"/>
      <c r="F7" s="7"/>
      <c r="G7" s="7"/>
      <c r="H7" s="7" t="s">
        <v>33</v>
      </c>
      <c r="I7" s="8"/>
      <c r="J7" s="8"/>
      <c r="K7" s="8"/>
      <c r="L7" s="12"/>
      <c r="M7" s="12"/>
      <c r="N7" s="10"/>
      <c r="O7" s="10"/>
      <c r="P7" s="10"/>
      <c r="Q7" s="10"/>
      <c r="R7" s="13" t="s">
        <v>34</v>
      </c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A8" s="6" t="s">
        <v>35</v>
      </c>
      <c r="B8" s="7" t="s">
        <v>19</v>
      </c>
      <c r="C8" s="7">
        <v>2.0</v>
      </c>
      <c r="D8" s="7">
        <v>1.0</v>
      </c>
      <c r="E8" s="8"/>
      <c r="F8" s="8"/>
      <c r="G8" s="8"/>
      <c r="H8" s="8"/>
      <c r="I8" s="8"/>
      <c r="J8" s="8"/>
      <c r="K8" s="8"/>
      <c r="L8" s="9" t="s">
        <v>36</v>
      </c>
      <c r="M8" s="9" t="s">
        <v>37</v>
      </c>
      <c r="N8" s="10"/>
      <c r="O8" s="10"/>
      <c r="P8" s="10"/>
      <c r="Q8" s="10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>
      <c r="A9" s="6" t="s">
        <v>38</v>
      </c>
      <c r="B9" s="7" t="s">
        <v>39</v>
      </c>
      <c r="C9" s="7">
        <v>2.0</v>
      </c>
      <c r="D9" s="7">
        <v>2.0</v>
      </c>
      <c r="E9" s="7" t="s">
        <v>40</v>
      </c>
      <c r="F9" s="8"/>
      <c r="G9" s="8"/>
      <c r="H9" s="8"/>
      <c r="I9" s="8"/>
      <c r="J9" s="8"/>
      <c r="K9" s="8"/>
      <c r="L9" s="12"/>
      <c r="M9" s="12"/>
      <c r="N9" s="10"/>
      <c r="O9" s="10"/>
      <c r="P9" s="10"/>
      <c r="Q9" s="10"/>
      <c r="R9" s="13" t="s">
        <v>31</v>
      </c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>
      <c r="A10" s="6" t="s">
        <v>41</v>
      </c>
      <c r="B10" s="7" t="s">
        <v>19</v>
      </c>
      <c r="C10" s="7">
        <v>1.0</v>
      </c>
      <c r="D10" s="7">
        <v>1.0</v>
      </c>
      <c r="E10" s="7" t="s">
        <v>42</v>
      </c>
      <c r="F10" s="8"/>
      <c r="G10" s="8"/>
      <c r="H10" s="8"/>
      <c r="I10" s="8"/>
      <c r="J10" s="8"/>
      <c r="K10" s="8"/>
      <c r="L10" s="12"/>
      <c r="M10" s="12"/>
      <c r="N10" s="10"/>
      <c r="O10" s="10"/>
      <c r="P10" s="10"/>
      <c r="Q10" s="10"/>
      <c r="R10" s="13" t="s">
        <v>31</v>
      </c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>
      <c r="A11" s="13" t="s">
        <v>43</v>
      </c>
      <c r="B11" s="14" t="s">
        <v>19</v>
      </c>
      <c r="C11" s="14">
        <v>1.0</v>
      </c>
      <c r="D11" s="14">
        <v>1.0</v>
      </c>
      <c r="E11" s="14"/>
      <c r="F11" s="14">
        <v>675055.0</v>
      </c>
      <c r="G11" s="14"/>
      <c r="H11" s="14" t="s">
        <v>44</v>
      </c>
      <c r="I11" s="14">
        <v>5000.0</v>
      </c>
      <c r="J11" s="14">
        <v>909.53</v>
      </c>
      <c r="K11" s="14" t="s">
        <v>26</v>
      </c>
      <c r="L11" s="15" t="s">
        <v>45</v>
      </c>
      <c r="M11" s="9">
        <f t="shared" ref="M11:M13" si="2">J11/I11</f>
        <v>0.181906</v>
      </c>
      <c r="N11" s="10"/>
      <c r="O11" s="10"/>
      <c r="P11" s="10"/>
      <c r="Q11" s="10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>
      <c r="A12" s="6" t="s">
        <v>46</v>
      </c>
      <c r="B12" s="7" t="s">
        <v>39</v>
      </c>
      <c r="C12" s="7">
        <v>1.0</v>
      </c>
      <c r="D12" s="7">
        <v>1.0</v>
      </c>
      <c r="E12" s="7" t="s">
        <v>47</v>
      </c>
      <c r="F12" s="7">
        <v>698256.0</v>
      </c>
      <c r="G12" s="7"/>
      <c r="H12" s="7" t="s">
        <v>48</v>
      </c>
      <c r="I12" s="7">
        <v>1000.0</v>
      </c>
      <c r="J12" s="7">
        <v>51.24</v>
      </c>
      <c r="K12" s="7" t="s">
        <v>26</v>
      </c>
      <c r="L12" s="9" t="s">
        <v>49</v>
      </c>
      <c r="M12" s="12">
        <f t="shared" si="2"/>
        <v>0.05124</v>
      </c>
      <c r="N12" s="10"/>
      <c r="O12" s="10"/>
      <c r="P12" s="10"/>
      <c r="Q12" s="10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>
      <c r="A13" s="6" t="s">
        <v>50</v>
      </c>
      <c r="B13" s="7" t="s">
        <v>39</v>
      </c>
      <c r="C13" s="7"/>
      <c r="D13" s="7"/>
      <c r="E13" s="7" t="s">
        <v>51</v>
      </c>
      <c r="F13" s="7">
        <v>698256.0</v>
      </c>
      <c r="G13" s="7"/>
      <c r="H13" s="7" t="s">
        <v>48</v>
      </c>
      <c r="I13" s="7">
        <v>1000.0</v>
      </c>
      <c r="J13" s="7">
        <v>35.53</v>
      </c>
      <c r="K13" s="7" t="s">
        <v>26</v>
      </c>
      <c r="L13" s="9" t="s">
        <v>52</v>
      </c>
      <c r="M13" s="12">
        <f t="shared" si="2"/>
        <v>0.03553</v>
      </c>
      <c r="N13" s="10"/>
      <c r="O13" s="10"/>
      <c r="P13" s="10"/>
      <c r="Q13" s="10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>
      <c r="A14" s="6" t="s">
        <v>53</v>
      </c>
      <c r="B14" s="7" t="s">
        <v>54</v>
      </c>
      <c r="C14" s="7">
        <v>13.0</v>
      </c>
      <c r="D14" s="7">
        <v>6.0</v>
      </c>
      <c r="E14" s="8"/>
      <c r="F14" s="8"/>
      <c r="G14" s="8"/>
      <c r="H14" s="8"/>
      <c r="I14" s="8"/>
      <c r="J14" s="8"/>
      <c r="K14" s="7" t="s">
        <v>26</v>
      </c>
      <c r="L14" s="9" t="s">
        <v>55</v>
      </c>
      <c r="M14" s="9" t="s">
        <v>56</v>
      </c>
      <c r="N14" s="10"/>
      <c r="O14" s="10"/>
      <c r="P14" s="10"/>
      <c r="Q14" s="10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>
      <c r="A15" s="6" t="s">
        <v>57</v>
      </c>
      <c r="B15" s="7" t="s">
        <v>54</v>
      </c>
      <c r="C15" s="7">
        <v>6.0</v>
      </c>
      <c r="D15" s="7">
        <v>2.0</v>
      </c>
      <c r="E15" s="8"/>
      <c r="F15" s="7"/>
      <c r="G15" s="7"/>
      <c r="H15" s="7" t="s">
        <v>58</v>
      </c>
      <c r="I15" s="7">
        <v>1000.0</v>
      </c>
      <c r="J15" s="7">
        <v>36.0</v>
      </c>
      <c r="K15" s="7" t="s">
        <v>26</v>
      </c>
      <c r="L15" s="9" t="s">
        <v>55</v>
      </c>
      <c r="M15" s="12">
        <f t="shared" ref="M15:M18" si="3">J15/I15</f>
        <v>0.036</v>
      </c>
      <c r="N15" s="16">
        <v>1.0</v>
      </c>
      <c r="O15" s="10"/>
      <c r="P15" s="10"/>
      <c r="Q15" s="10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>
      <c r="A16" s="6" t="s">
        <v>59</v>
      </c>
      <c r="B16" s="7" t="s">
        <v>54</v>
      </c>
      <c r="C16" s="7">
        <v>2.0</v>
      </c>
      <c r="D16" s="7">
        <v>1.0</v>
      </c>
      <c r="E16" s="8"/>
      <c r="F16" s="8"/>
      <c r="G16" s="8"/>
      <c r="H16" s="8"/>
      <c r="I16" s="7">
        <v>2500.0</v>
      </c>
      <c r="J16" s="7">
        <v>1590.0</v>
      </c>
      <c r="K16" s="7" t="s">
        <v>26</v>
      </c>
      <c r="L16" s="9" t="s">
        <v>60</v>
      </c>
      <c r="M16" s="12">
        <f t="shared" si="3"/>
        <v>0.636</v>
      </c>
      <c r="N16" s="10"/>
      <c r="O16" s="10"/>
      <c r="P16" s="10"/>
      <c r="Q16" s="10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>
      <c r="A17" s="6" t="s">
        <v>61</v>
      </c>
      <c r="B17" s="7" t="s">
        <v>54</v>
      </c>
      <c r="C17" s="7">
        <v>2.0</v>
      </c>
      <c r="D17" s="7">
        <v>1.0</v>
      </c>
      <c r="E17" s="8"/>
      <c r="F17" s="8"/>
      <c r="G17" s="8"/>
      <c r="H17" s="8"/>
      <c r="I17" s="7">
        <v>2500.0</v>
      </c>
      <c r="J17" s="7">
        <v>1590.0</v>
      </c>
      <c r="K17" s="7" t="s">
        <v>26</v>
      </c>
      <c r="L17" s="9" t="s">
        <v>62</v>
      </c>
      <c r="M17" s="12">
        <f t="shared" si="3"/>
        <v>0.636</v>
      </c>
      <c r="N17" s="10"/>
      <c r="O17" s="10"/>
      <c r="P17" s="10"/>
      <c r="Q17" s="10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>
      <c r="A18" s="6" t="s">
        <v>63</v>
      </c>
      <c r="B18" s="7" t="s">
        <v>54</v>
      </c>
      <c r="C18" s="7"/>
      <c r="D18" s="7"/>
      <c r="E18" s="7" t="s">
        <v>64</v>
      </c>
      <c r="F18" s="7">
        <v>679738.0</v>
      </c>
      <c r="G18" s="7"/>
      <c r="H18" s="7" t="s">
        <v>65</v>
      </c>
      <c r="I18" s="7">
        <v>1000.0</v>
      </c>
      <c r="J18" s="7">
        <v>75.0</v>
      </c>
      <c r="K18" s="7" t="s">
        <v>26</v>
      </c>
      <c r="L18" s="9" t="s">
        <v>66</v>
      </c>
      <c r="M18" s="12">
        <f t="shared" si="3"/>
        <v>0.075</v>
      </c>
      <c r="N18" s="10"/>
      <c r="O18" s="10"/>
      <c r="P18" s="10"/>
      <c r="Q18" s="10"/>
      <c r="R18" s="13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>
      <c r="A19" s="6" t="s">
        <v>67</v>
      </c>
      <c r="B19" s="7" t="s">
        <v>54</v>
      </c>
      <c r="C19" s="7"/>
      <c r="D19" s="7"/>
      <c r="E19" s="8"/>
      <c r="F19" s="7"/>
      <c r="G19" s="7"/>
      <c r="H19" s="7" t="s">
        <v>65</v>
      </c>
      <c r="I19" s="8"/>
      <c r="J19" s="8"/>
      <c r="K19" s="8"/>
      <c r="L19" s="12"/>
      <c r="M19" s="12"/>
      <c r="N19" s="10"/>
      <c r="O19" s="10"/>
      <c r="P19" s="10"/>
      <c r="Q19" s="10"/>
      <c r="R19" s="13" t="s">
        <v>31</v>
      </c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>
      <c r="A20" s="6" t="s">
        <v>68</v>
      </c>
      <c r="B20" s="7" t="s">
        <v>54</v>
      </c>
      <c r="C20" s="7">
        <v>1.0</v>
      </c>
      <c r="D20" s="7">
        <v>1.0</v>
      </c>
      <c r="E20" s="7" t="s">
        <v>69</v>
      </c>
      <c r="F20" s="7">
        <v>705595.0</v>
      </c>
      <c r="G20" s="7"/>
      <c r="H20" s="7" t="s">
        <v>65</v>
      </c>
      <c r="I20" s="7">
        <v>500.0</v>
      </c>
      <c r="J20" s="7">
        <v>75.0</v>
      </c>
      <c r="K20" s="7" t="s">
        <v>26</v>
      </c>
      <c r="L20" s="9" t="s">
        <v>70</v>
      </c>
      <c r="M20" s="12">
        <f t="shared" ref="M20:M21" si="4">J20/I20</f>
        <v>0.15</v>
      </c>
      <c r="N20" s="10"/>
      <c r="O20" s="10"/>
      <c r="P20" s="10"/>
      <c r="Q20" s="10"/>
      <c r="R20" s="13" t="s">
        <v>71</v>
      </c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A21" s="6" t="s">
        <v>72</v>
      </c>
      <c r="B21" s="7" t="s">
        <v>73</v>
      </c>
      <c r="C21" s="7">
        <v>68.0</v>
      </c>
      <c r="D21" s="7">
        <v>50.0</v>
      </c>
      <c r="E21" s="8"/>
      <c r="F21" s="7"/>
      <c r="G21" s="7"/>
      <c r="H21" s="7" t="s">
        <v>74</v>
      </c>
      <c r="I21" s="7">
        <v>1000.0</v>
      </c>
      <c r="J21" s="7">
        <v>32.0</v>
      </c>
      <c r="K21" s="7" t="s">
        <v>26</v>
      </c>
      <c r="L21" s="9" t="s">
        <v>75</v>
      </c>
      <c r="M21" s="12">
        <f t="shared" si="4"/>
        <v>0.032</v>
      </c>
      <c r="N21" s="16">
        <v>1.0</v>
      </c>
      <c r="O21" s="10"/>
      <c r="P21" s="10"/>
      <c r="Q21" s="10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>
      <c r="A22" s="6" t="s">
        <v>76</v>
      </c>
      <c r="B22" s="7" t="s">
        <v>73</v>
      </c>
      <c r="C22" s="7">
        <v>7.0</v>
      </c>
      <c r="D22" s="7">
        <v>3.0</v>
      </c>
      <c r="E22" s="8"/>
      <c r="F22" s="8"/>
      <c r="G22" s="8"/>
      <c r="H22" s="8"/>
      <c r="I22" s="8"/>
      <c r="J22" s="8"/>
      <c r="K22" s="8"/>
      <c r="L22" s="12"/>
      <c r="M22" s="12"/>
      <c r="N22" s="16">
        <v>10.0</v>
      </c>
      <c r="O22" s="10"/>
      <c r="P22" s="10"/>
      <c r="Q22" s="10"/>
      <c r="R22" s="13" t="s">
        <v>31</v>
      </c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>
      <c r="A23" s="6" t="s">
        <v>77</v>
      </c>
      <c r="B23" s="7" t="s">
        <v>78</v>
      </c>
      <c r="C23" s="7"/>
      <c r="D23" s="7"/>
      <c r="E23" s="7" t="s">
        <v>79</v>
      </c>
      <c r="F23" s="7">
        <v>693056.0</v>
      </c>
      <c r="G23" s="8"/>
      <c r="H23" s="7" t="s">
        <v>80</v>
      </c>
      <c r="I23" s="7">
        <v>17000.0</v>
      </c>
      <c r="J23" s="7">
        <v>432.14</v>
      </c>
      <c r="K23" s="7" t="s">
        <v>26</v>
      </c>
      <c r="L23" s="9" t="s">
        <v>79</v>
      </c>
      <c r="M23" s="12">
        <f t="shared" ref="M23:M25" si="5">J23/I23</f>
        <v>0.02542</v>
      </c>
      <c r="N23" s="16"/>
      <c r="O23" s="10"/>
      <c r="P23" s="10"/>
      <c r="Q23" s="10"/>
      <c r="R23" s="13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>
      <c r="A24" s="17" t="s">
        <v>81</v>
      </c>
      <c r="B24" s="7" t="s">
        <v>78</v>
      </c>
      <c r="C24" s="7"/>
      <c r="D24" s="7"/>
      <c r="E24" s="7" t="s">
        <v>82</v>
      </c>
      <c r="F24" s="7">
        <v>693056.0</v>
      </c>
      <c r="G24" s="8"/>
      <c r="H24" s="7" t="s">
        <v>80</v>
      </c>
      <c r="I24" s="7">
        <v>22600.0</v>
      </c>
      <c r="J24" s="7">
        <v>427.37</v>
      </c>
      <c r="K24" s="7" t="s">
        <v>26</v>
      </c>
      <c r="L24" s="9" t="s">
        <v>83</v>
      </c>
      <c r="M24" s="12">
        <f t="shared" si="5"/>
        <v>0.01891017699</v>
      </c>
      <c r="N24" s="16"/>
      <c r="O24" s="10"/>
      <c r="P24" s="10"/>
      <c r="Q24" s="10"/>
      <c r="R24" s="13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>
      <c r="A25" s="6" t="s">
        <v>84</v>
      </c>
      <c r="B25" s="7" t="s">
        <v>78</v>
      </c>
      <c r="C25" s="7"/>
      <c r="D25" s="7"/>
      <c r="E25" s="7" t="s">
        <v>85</v>
      </c>
      <c r="F25" s="7">
        <v>693056.0</v>
      </c>
      <c r="G25" s="8"/>
      <c r="H25" s="7" t="s">
        <v>80</v>
      </c>
      <c r="I25" s="7">
        <v>25700.0</v>
      </c>
      <c r="J25" s="7">
        <v>703.41</v>
      </c>
      <c r="K25" s="7" t="s">
        <v>26</v>
      </c>
      <c r="L25" s="9" t="s">
        <v>86</v>
      </c>
      <c r="M25" s="12">
        <f t="shared" si="5"/>
        <v>0.02737003891</v>
      </c>
      <c r="N25" s="16"/>
      <c r="O25" s="10"/>
      <c r="P25" s="10"/>
      <c r="Q25" s="10"/>
      <c r="R25" s="13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>
      <c r="A26" s="6" t="s">
        <v>87</v>
      </c>
      <c r="B26" s="7" t="s">
        <v>73</v>
      </c>
      <c r="C26" s="7">
        <v>3.0</v>
      </c>
      <c r="D26" s="7">
        <v>1.0</v>
      </c>
      <c r="E26" s="8"/>
      <c r="F26" s="8"/>
      <c r="G26" s="8"/>
      <c r="H26" s="8"/>
      <c r="I26" s="8"/>
      <c r="J26" s="8"/>
      <c r="K26" s="8"/>
      <c r="L26" s="12"/>
      <c r="M26" s="12"/>
      <c r="N26" s="10"/>
      <c r="O26" s="10"/>
      <c r="P26" s="10"/>
      <c r="Q26" s="10"/>
      <c r="R26" s="13" t="s">
        <v>31</v>
      </c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>
      <c r="A27" s="6" t="s">
        <v>88</v>
      </c>
      <c r="B27" s="7" t="s">
        <v>73</v>
      </c>
      <c r="C27" s="7">
        <v>1.0</v>
      </c>
      <c r="D27" s="7">
        <v>1.0</v>
      </c>
      <c r="E27" s="8"/>
      <c r="F27" s="8"/>
      <c r="G27" s="8"/>
      <c r="H27" s="8"/>
      <c r="I27" s="8"/>
      <c r="J27" s="8"/>
      <c r="K27" s="8"/>
      <c r="L27" s="12"/>
      <c r="M27" s="12"/>
      <c r="N27" s="10"/>
      <c r="O27" s="10"/>
      <c r="P27" s="10"/>
      <c r="Q27" s="10"/>
      <c r="R27" s="13" t="s">
        <v>31</v>
      </c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>
      <c r="A28" s="6" t="s">
        <v>89</v>
      </c>
      <c r="B28" s="7" t="s">
        <v>73</v>
      </c>
      <c r="C28" s="7">
        <v>1.0</v>
      </c>
      <c r="D28" s="7">
        <v>1.0</v>
      </c>
      <c r="E28" s="8"/>
      <c r="F28" s="8"/>
      <c r="G28" s="8"/>
      <c r="H28" s="8"/>
      <c r="I28" s="8"/>
      <c r="J28" s="8"/>
      <c r="K28" s="8"/>
      <c r="L28" s="12"/>
      <c r="M28" s="12"/>
      <c r="N28" s="10"/>
      <c r="O28" s="10"/>
      <c r="P28" s="10"/>
      <c r="Q28" s="10"/>
      <c r="R28" s="13" t="s">
        <v>31</v>
      </c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>
      <c r="A29" s="6" t="s">
        <v>90</v>
      </c>
      <c r="B29" s="7" t="s">
        <v>91</v>
      </c>
      <c r="C29" s="7">
        <v>4.0</v>
      </c>
      <c r="D29" s="7">
        <v>2.0</v>
      </c>
      <c r="E29" s="7" t="s">
        <v>92</v>
      </c>
      <c r="F29" s="7">
        <v>704539.0</v>
      </c>
      <c r="G29" s="7"/>
      <c r="H29" s="7" t="s">
        <v>93</v>
      </c>
      <c r="I29" s="7">
        <v>100.0</v>
      </c>
      <c r="J29" s="7">
        <v>8.98</v>
      </c>
      <c r="K29" s="7" t="s">
        <v>94</v>
      </c>
      <c r="L29" s="9" t="s">
        <v>95</v>
      </c>
      <c r="M29" s="12">
        <f t="shared" ref="M29:M35" si="6">J29/I29</f>
        <v>0.0898</v>
      </c>
      <c r="N29" s="10"/>
      <c r="O29" s="10"/>
      <c r="P29" s="10"/>
      <c r="Q29" s="10"/>
      <c r="R29" s="13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>
      <c r="A30" s="6" t="s">
        <v>96</v>
      </c>
      <c r="B30" s="7" t="s">
        <v>91</v>
      </c>
      <c r="C30" s="7">
        <v>4.0</v>
      </c>
      <c r="D30" s="7">
        <v>2.0</v>
      </c>
      <c r="E30" s="7" t="s">
        <v>97</v>
      </c>
      <c r="F30" s="7">
        <v>699746.0</v>
      </c>
      <c r="G30" s="7"/>
      <c r="H30" s="7" t="s">
        <v>93</v>
      </c>
      <c r="I30" s="7">
        <v>2000.0</v>
      </c>
      <c r="J30" s="7">
        <v>128.52</v>
      </c>
      <c r="K30" s="7" t="s">
        <v>26</v>
      </c>
      <c r="L30" s="9" t="s">
        <v>98</v>
      </c>
      <c r="M30" s="12">
        <f t="shared" si="6"/>
        <v>0.06426</v>
      </c>
      <c r="N30" s="10"/>
      <c r="O30" s="10"/>
      <c r="P30" s="10"/>
      <c r="Q30" s="10"/>
      <c r="R30" s="13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6" t="s">
        <v>99</v>
      </c>
      <c r="B31" s="7" t="s">
        <v>91</v>
      </c>
      <c r="C31" s="7">
        <v>4.0</v>
      </c>
      <c r="D31" s="7">
        <v>2.0</v>
      </c>
      <c r="E31" s="7" t="s">
        <v>100</v>
      </c>
      <c r="F31" s="7">
        <v>699746.0</v>
      </c>
      <c r="G31" s="7"/>
      <c r="H31" s="7" t="s">
        <v>93</v>
      </c>
      <c r="I31" s="7">
        <v>1000.0</v>
      </c>
      <c r="J31" s="7">
        <v>108.75</v>
      </c>
      <c r="K31" s="7" t="s">
        <v>26</v>
      </c>
      <c r="L31" s="9" t="s">
        <v>101</v>
      </c>
      <c r="M31" s="12">
        <f t="shared" si="6"/>
        <v>0.10875</v>
      </c>
      <c r="N31" s="10"/>
      <c r="O31" s="10"/>
      <c r="P31" s="10"/>
      <c r="Q31" s="10"/>
      <c r="R31" s="13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>
      <c r="A32" s="6" t="s">
        <v>102</v>
      </c>
      <c r="B32" s="7" t="s">
        <v>103</v>
      </c>
      <c r="C32" s="7">
        <v>2.0</v>
      </c>
      <c r="D32" s="7">
        <v>1.0</v>
      </c>
      <c r="E32" s="7" t="s">
        <v>104</v>
      </c>
      <c r="F32" s="7">
        <v>703100.0</v>
      </c>
      <c r="G32" s="7"/>
      <c r="H32" s="7" t="s">
        <v>105</v>
      </c>
      <c r="I32" s="7">
        <v>1200.0</v>
      </c>
      <c r="J32" s="7">
        <v>348.0</v>
      </c>
      <c r="K32" s="7" t="s">
        <v>94</v>
      </c>
      <c r="L32" s="9" t="s">
        <v>106</v>
      </c>
      <c r="M32" s="12">
        <f t="shared" si="6"/>
        <v>0.29</v>
      </c>
      <c r="N32" s="10"/>
      <c r="O32" s="10"/>
      <c r="P32" s="10"/>
      <c r="Q32" s="10"/>
      <c r="R32" s="13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>
      <c r="A33" s="6" t="s">
        <v>107</v>
      </c>
      <c r="B33" s="7" t="s">
        <v>103</v>
      </c>
      <c r="C33" s="7">
        <v>2.0</v>
      </c>
      <c r="D33" s="7">
        <v>1.0</v>
      </c>
      <c r="E33" s="7" t="s">
        <v>108</v>
      </c>
      <c r="F33" s="7">
        <v>703100.0</v>
      </c>
      <c r="G33" s="7"/>
      <c r="H33" s="7" t="s">
        <v>105</v>
      </c>
      <c r="I33" s="7">
        <v>1200.0</v>
      </c>
      <c r="J33" s="7">
        <v>348.0</v>
      </c>
      <c r="K33" s="7" t="s">
        <v>94</v>
      </c>
      <c r="L33" s="9" t="s">
        <v>109</v>
      </c>
      <c r="M33" s="12">
        <f t="shared" si="6"/>
        <v>0.29</v>
      </c>
      <c r="N33" s="10"/>
      <c r="O33" s="10"/>
      <c r="P33" s="10"/>
      <c r="Q33" s="10"/>
      <c r="R33" s="13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>
      <c r="A34" s="6" t="s">
        <v>110</v>
      </c>
      <c r="B34" s="7" t="s">
        <v>103</v>
      </c>
      <c r="C34" s="7">
        <v>1.0</v>
      </c>
      <c r="D34" s="7">
        <v>1.0</v>
      </c>
      <c r="E34" s="7" t="s">
        <v>111</v>
      </c>
      <c r="F34" s="7"/>
      <c r="G34" s="7"/>
      <c r="H34" s="7" t="s">
        <v>93</v>
      </c>
      <c r="I34" s="7">
        <v>2000.0</v>
      </c>
      <c r="J34" s="7">
        <v>172.2</v>
      </c>
      <c r="K34" s="7" t="s">
        <v>94</v>
      </c>
      <c r="L34" s="9" t="s">
        <v>112</v>
      </c>
      <c r="M34" s="12">
        <f t="shared" si="6"/>
        <v>0.0861</v>
      </c>
      <c r="N34" s="10"/>
      <c r="O34" s="10"/>
      <c r="P34" s="10"/>
      <c r="Q34" s="10"/>
      <c r="R34" s="13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>
      <c r="A35" s="6" t="s">
        <v>113</v>
      </c>
      <c r="B35" s="7" t="s">
        <v>114</v>
      </c>
      <c r="C35" s="7">
        <v>12.0</v>
      </c>
      <c r="D35" s="7">
        <v>1.0</v>
      </c>
      <c r="E35" s="7" t="s">
        <v>115</v>
      </c>
      <c r="F35" s="7"/>
      <c r="G35" s="7"/>
      <c r="H35" s="7" t="s">
        <v>44</v>
      </c>
      <c r="I35" s="7">
        <v>1000.0</v>
      </c>
      <c r="J35" s="7">
        <v>149.85</v>
      </c>
      <c r="K35" s="7" t="s">
        <v>26</v>
      </c>
      <c r="L35" s="9" t="s">
        <v>116</v>
      </c>
      <c r="M35" s="12">
        <f t="shared" si="6"/>
        <v>0.14985</v>
      </c>
      <c r="N35" s="10"/>
      <c r="O35" s="10"/>
      <c r="P35" s="10"/>
      <c r="Q35" s="10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>
      <c r="A36" s="6" t="s">
        <v>117</v>
      </c>
      <c r="B36" s="7" t="s">
        <v>114</v>
      </c>
      <c r="C36" s="7">
        <v>7.0</v>
      </c>
      <c r="D36" s="7">
        <v>1.0</v>
      </c>
      <c r="E36" s="7" t="s">
        <v>118</v>
      </c>
      <c r="F36" s="7"/>
      <c r="G36" s="7"/>
      <c r="H36" s="7" t="s">
        <v>44</v>
      </c>
      <c r="I36" s="7">
        <v>1000.0</v>
      </c>
      <c r="J36" s="7">
        <v>132.1308</v>
      </c>
      <c r="K36" s="7" t="s">
        <v>26</v>
      </c>
      <c r="L36" s="9" t="s">
        <v>119</v>
      </c>
      <c r="M36" s="9">
        <v>0.1321308</v>
      </c>
      <c r="N36" s="10"/>
      <c r="O36" s="10"/>
      <c r="P36" s="10"/>
      <c r="Q36" s="10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>
      <c r="A37" s="6" t="s">
        <v>120</v>
      </c>
      <c r="B37" s="7" t="s">
        <v>114</v>
      </c>
      <c r="C37" s="7">
        <v>1.0</v>
      </c>
      <c r="D37" s="7">
        <v>1.0</v>
      </c>
      <c r="E37" s="8"/>
      <c r="F37" s="8"/>
      <c r="G37" s="8"/>
      <c r="H37" s="8"/>
      <c r="I37" s="8"/>
      <c r="J37" s="8"/>
      <c r="K37" s="8"/>
      <c r="L37" s="12"/>
      <c r="M37" s="12"/>
      <c r="N37" s="10"/>
      <c r="O37" s="10"/>
      <c r="P37" s="10"/>
      <c r="Q37" s="10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>
      <c r="A38" s="6" t="s">
        <v>121</v>
      </c>
      <c r="B38" s="7" t="s">
        <v>122</v>
      </c>
      <c r="C38" s="7">
        <v>6.0</v>
      </c>
      <c r="D38" s="7">
        <v>1.0</v>
      </c>
      <c r="E38" s="7" t="s">
        <v>123</v>
      </c>
      <c r="F38" s="7">
        <v>677908.0</v>
      </c>
      <c r="G38" s="7"/>
      <c r="H38" s="7" t="s">
        <v>124</v>
      </c>
      <c r="I38" s="7">
        <v>120.0</v>
      </c>
      <c r="J38" s="7">
        <v>403.2</v>
      </c>
      <c r="K38" s="7" t="s">
        <v>94</v>
      </c>
      <c r="L38" s="9" t="s">
        <v>123</v>
      </c>
      <c r="M38" s="12">
        <f t="shared" ref="M38:M43" si="7">J38/I38</f>
        <v>3.36</v>
      </c>
      <c r="N38" s="10"/>
      <c r="O38" s="10"/>
      <c r="P38" s="10"/>
      <c r="Q38" s="10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>
      <c r="A39" s="6" t="s">
        <v>125</v>
      </c>
      <c r="B39" s="7" t="s">
        <v>126</v>
      </c>
      <c r="C39" s="7">
        <v>62.0</v>
      </c>
      <c r="D39" s="7">
        <v>1.0</v>
      </c>
      <c r="E39" s="8"/>
      <c r="F39" s="7"/>
      <c r="G39" s="7"/>
      <c r="H39" s="7" t="s">
        <v>127</v>
      </c>
      <c r="I39" s="7">
        <v>1000.0</v>
      </c>
      <c r="J39" s="7">
        <v>64.6</v>
      </c>
      <c r="K39" s="7" t="s">
        <v>26</v>
      </c>
      <c r="L39" s="9" t="s">
        <v>128</v>
      </c>
      <c r="M39" s="12">
        <f t="shared" si="7"/>
        <v>0.0646</v>
      </c>
      <c r="N39" s="16">
        <v>1.0</v>
      </c>
      <c r="O39" s="10"/>
      <c r="P39" s="10"/>
      <c r="Q39" s="10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>
      <c r="A40" s="6" t="s">
        <v>129</v>
      </c>
      <c r="B40" s="7" t="s">
        <v>126</v>
      </c>
      <c r="C40" s="7">
        <v>53.0</v>
      </c>
      <c r="D40" s="7">
        <v>10.0</v>
      </c>
      <c r="E40" s="18" t="s">
        <v>130</v>
      </c>
      <c r="F40" s="7"/>
      <c r="G40" s="7"/>
      <c r="H40" s="7" t="s">
        <v>131</v>
      </c>
      <c r="I40" s="7">
        <v>1000.0</v>
      </c>
      <c r="J40" s="7">
        <v>43.35</v>
      </c>
      <c r="K40" s="7" t="s">
        <v>26</v>
      </c>
      <c r="L40" s="9" t="s">
        <v>130</v>
      </c>
      <c r="M40" s="12">
        <f t="shared" si="7"/>
        <v>0.04335</v>
      </c>
      <c r="N40" s="16">
        <v>1.0</v>
      </c>
      <c r="O40" s="16">
        <v>1.0</v>
      </c>
      <c r="P40" s="16">
        <v>1.0</v>
      </c>
      <c r="Q40" s="16">
        <v>1.0</v>
      </c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>
      <c r="A41" s="6" t="s">
        <v>132</v>
      </c>
      <c r="B41" s="7" t="s">
        <v>126</v>
      </c>
      <c r="C41" s="7">
        <v>15.0</v>
      </c>
      <c r="D41" s="7">
        <v>3.0</v>
      </c>
      <c r="E41" s="8"/>
      <c r="F41" s="7"/>
      <c r="G41" s="7"/>
      <c r="H41" s="7" t="s">
        <v>131</v>
      </c>
      <c r="I41" s="7">
        <v>1000.0</v>
      </c>
      <c r="J41" s="7">
        <v>16.78</v>
      </c>
      <c r="K41" s="7" t="s">
        <v>26</v>
      </c>
      <c r="L41" s="9" t="s">
        <v>133</v>
      </c>
      <c r="M41" s="12">
        <f t="shared" si="7"/>
        <v>0.01678</v>
      </c>
      <c r="N41" s="16">
        <v>1.0</v>
      </c>
      <c r="O41" s="16">
        <v>1.0</v>
      </c>
      <c r="P41" s="16">
        <v>1.0</v>
      </c>
      <c r="Q41" s="16">
        <v>1.0</v>
      </c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>
      <c r="A42" s="6" t="s">
        <v>134</v>
      </c>
      <c r="B42" s="7" t="s">
        <v>126</v>
      </c>
      <c r="C42" s="7">
        <v>8.0</v>
      </c>
      <c r="D42" s="7">
        <v>2.0</v>
      </c>
      <c r="E42" s="7" t="s">
        <v>135</v>
      </c>
      <c r="F42" s="7">
        <v>700923.0</v>
      </c>
      <c r="G42" s="7"/>
      <c r="H42" s="7" t="s">
        <v>136</v>
      </c>
      <c r="I42" s="7">
        <v>1000.0</v>
      </c>
      <c r="J42" s="7">
        <v>30.75</v>
      </c>
      <c r="K42" s="7" t="s">
        <v>26</v>
      </c>
      <c r="L42" s="9" t="s">
        <v>137</v>
      </c>
      <c r="M42" s="12">
        <f t="shared" si="7"/>
        <v>0.03075</v>
      </c>
      <c r="N42" s="16">
        <v>1.0</v>
      </c>
      <c r="O42" s="16"/>
      <c r="P42" s="16">
        <v>1.0</v>
      </c>
      <c r="Q42" s="10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>
      <c r="A43" s="6" t="s">
        <v>138</v>
      </c>
      <c r="B43" s="7" t="s">
        <v>126</v>
      </c>
      <c r="C43" s="7">
        <v>1.0</v>
      </c>
      <c r="D43" s="7">
        <v>1.0</v>
      </c>
      <c r="E43" s="19" t="s">
        <v>139</v>
      </c>
      <c r="F43" s="7">
        <v>689810.0</v>
      </c>
      <c r="G43" s="8"/>
      <c r="H43" s="7" t="s">
        <v>140</v>
      </c>
      <c r="I43" s="7">
        <v>9000.0</v>
      </c>
      <c r="J43" s="7">
        <v>351.6</v>
      </c>
      <c r="K43" s="7" t="s">
        <v>94</v>
      </c>
      <c r="L43" s="9" t="s">
        <v>141</v>
      </c>
      <c r="M43" s="12">
        <f t="shared" si="7"/>
        <v>0.03906666667</v>
      </c>
      <c r="N43" s="10"/>
      <c r="O43" s="10"/>
      <c r="P43" s="10"/>
      <c r="Q43" s="10"/>
      <c r="R43" s="13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>
      <c r="A44" s="6" t="s">
        <v>142</v>
      </c>
      <c r="B44" s="7" t="s">
        <v>39</v>
      </c>
      <c r="C44" s="7"/>
      <c r="D44" s="7"/>
      <c r="E44" s="7" t="s">
        <v>40</v>
      </c>
      <c r="F44" s="8"/>
      <c r="G44" s="8"/>
      <c r="H44" s="8"/>
      <c r="I44" s="8"/>
      <c r="J44" s="8"/>
      <c r="K44" s="8"/>
      <c r="L44" s="12"/>
      <c r="M44" s="12"/>
      <c r="N44" s="10"/>
      <c r="O44" s="10"/>
      <c r="P44" s="10"/>
      <c r="Q44" s="10"/>
      <c r="R44" s="13" t="s">
        <v>31</v>
      </c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>
      <c r="A45" s="6" t="s">
        <v>143</v>
      </c>
      <c r="B45" s="7" t="s">
        <v>39</v>
      </c>
      <c r="C45" s="7">
        <v>13.0</v>
      </c>
      <c r="D45" s="7">
        <v>1.0</v>
      </c>
      <c r="E45" s="7" t="s">
        <v>40</v>
      </c>
      <c r="F45" s="8"/>
      <c r="G45" s="8"/>
      <c r="H45" s="8"/>
      <c r="I45" s="8"/>
      <c r="J45" s="8"/>
      <c r="K45" s="8"/>
      <c r="L45" s="12"/>
      <c r="M45" s="12"/>
      <c r="N45" s="10"/>
      <c r="O45" s="10"/>
      <c r="P45" s="10"/>
      <c r="Q45" s="10"/>
      <c r="R45" s="13" t="s">
        <v>31</v>
      </c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>
      <c r="A46" s="6" t="s">
        <v>144</v>
      </c>
      <c r="B46" s="7" t="s">
        <v>145</v>
      </c>
      <c r="C46" s="7">
        <v>14.0</v>
      </c>
      <c r="D46" s="7">
        <v>2.0</v>
      </c>
      <c r="E46" s="8"/>
      <c r="F46" s="8"/>
      <c r="G46" s="8"/>
      <c r="H46" s="8"/>
      <c r="I46" s="8"/>
      <c r="J46" s="8"/>
      <c r="K46" s="8"/>
      <c r="L46" s="9" t="s">
        <v>146</v>
      </c>
      <c r="M46" s="9" t="s">
        <v>147</v>
      </c>
      <c r="N46" s="10"/>
      <c r="O46" s="10"/>
      <c r="P46" s="10"/>
      <c r="Q46" s="10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>
      <c r="A47" s="6" t="s">
        <v>148</v>
      </c>
      <c r="B47" s="7" t="s">
        <v>149</v>
      </c>
      <c r="C47" s="7">
        <v>12.0</v>
      </c>
      <c r="D47" s="7">
        <v>1.0</v>
      </c>
      <c r="E47" s="7"/>
      <c r="F47" s="7">
        <v>677217.0</v>
      </c>
      <c r="G47" s="7"/>
      <c r="H47" s="7" t="s">
        <v>93</v>
      </c>
      <c r="I47" s="7">
        <v>300.0</v>
      </c>
      <c r="J47" s="7">
        <v>47.59</v>
      </c>
      <c r="K47" s="7" t="s">
        <v>94</v>
      </c>
      <c r="L47" s="9" t="s">
        <v>150</v>
      </c>
      <c r="M47" s="12">
        <f t="shared" ref="M47:M61" si="8">J47/I47</f>
        <v>0.1586333333</v>
      </c>
      <c r="N47" s="10"/>
      <c r="O47" s="10"/>
      <c r="P47" s="10"/>
      <c r="Q47" s="10"/>
      <c r="R47" s="13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>
      <c r="A48" s="6" t="s">
        <v>151</v>
      </c>
      <c r="B48" s="7" t="s">
        <v>149</v>
      </c>
      <c r="C48" s="7">
        <v>5.0</v>
      </c>
      <c r="D48" s="7">
        <v>2.0</v>
      </c>
      <c r="E48" s="7" t="s">
        <v>152</v>
      </c>
      <c r="F48" s="7"/>
      <c r="G48" s="7"/>
      <c r="H48" s="7" t="s">
        <v>153</v>
      </c>
      <c r="I48" s="7">
        <v>2000.0</v>
      </c>
      <c r="J48" s="7">
        <v>1740.0</v>
      </c>
      <c r="K48" s="7" t="s">
        <v>94</v>
      </c>
      <c r="L48" s="9" t="s">
        <v>154</v>
      </c>
      <c r="M48" s="12">
        <f t="shared" si="8"/>
        <v>0.87</v>
      </c>
      <c r="N48" s="10"/>
      <c r="O48" s="10"/>
      <c r="P48" s="10"/>
      <c r="Q48" s="10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>
      <c r="A49" s="6" t="s">
        <v>155</v>
      </c>
      <c r="B49" s="7" t="s">
        <v>156</v>
      </c>
      <c r="C49" s="7">
        <v>27.0</v>
      </c>
      <c r="D49" s="7">
        <v>7.0</v>
      </c>
      <c r="E49" s="7" t="s">
        <v>157</v>
      </c>
      <c r="F49" s="7"/>
      <c r="G49" s="7"/>
      <c r="H49" s="7" t="s">
        <v>93</v>
      </c>
      <c r="I49" s="7">
        <v>1000.0</v>
      </c>
      <c r="J49" s="7">
        <v>16.93</v>
      </c>
      <c r="K49" s="7" t="s">
        <v>26</v>
      </c>
      <c r="L49" s="12"/>
      <c r="M49" s="12">
        <f t="shared" si="8"/>
        <v>0.01693</v>
      </c>
      <c r="N49" s="10"/>
      <c r="O49" s="10"/>
      <c r="P49" s="10"/>
      <c r="Q49" s="10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>
      <c r="A50" s="6" t="s">
        <v>158</v>
      </c>
      <c r="B50" s="7" t="s">
        <v>156</v>
      </c>
      <c r="C50" s="7">
        <v>8.0</v>
      </c>
      <c r="D50" s="7">
        <v>2.0</v>
      </c>
      <c r="E50" s="7" t="s">
        <v>159</v>
      </c>
      <c r="F50" s="7"/>
      <c r="G50" s="7"/>
      <c r="H50" s="7" t="s">
        <v>93</v>
      </c>
      <c r="I50" s="7">
        <v>1000.0</v>
      </c>
      <c r="J50" s="7">
        <v>9.62</v>
      </c>
      <c r="K50" s="7" t="s">
        <v>26</v>
      </c>
      <c r="L50" s="12"/>
      <c r="M50" s="12">
        <f t="shared" si="8"/>
        <v>0.00962</v>
      </c>
      <c r="N50" s="10"/>
      <c r="O50" s="10"/>
      <c r="P50" s="10"/>
      <c r="Q50" s="10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>
      <c r="A51" s="6" t="s">
        <v>160</v>
      </c>
      <c r="B51" s="7" t="s">
        <v>39</v>
      </c>
      <c r="C51" s="7">
        <v>6.0</v>
      </c>
      <c r="D51" s="7">
        <v>2.0</v>
      </c>
      <c r="E51" s="7" t="s">
        <v>161</v>
      </c>
      <c r="F51" s="7"/>
      <c r="G51" s="7"/>
      <c r="H51" s="7" t="s">
        <v>93</v>
      </c>
      <c r="I51" s="7">
        <v>1000.0</v>
      </c>
      <c r="J51" s="7">
        <v>51.79</v>
      </c>
      <c r="K51" s="7" t="s">
        <v>26</v>
      </c>
      <c r="L51" s="12"/>
      <c r="M51" s="12">
        <f t="shared" si="8"/>
        <v>0.05179</v>
      </c>
      <c r="N51" s="10"/>
      <c r="O51" s="10"/>
      <c r="P51" s="10"/>
      <c r="Q51" s="10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>
      <c r="A52" s="6" t="s">
        <v>162</v>
      </c>
      <c r="B52" s="7" t="s">
        <v>39</v>
      </c>
      <c r="C52" s="7"/>
      <c r="D52" s="7"/>
      <c r="E52" s="7" t="s">
        <v>163</v>
      </c>
      <c r="F52" s="7"/>
      <c r="G52" s="7"/>
      <c r="H52" s="7" t="s">
        <v>93</v>
      </c>
      <c r="I52" s="7">
        <v>1000.0</v>
      </c>
      <c r="J52" s="7">
        <v>30.16</v>
      </c>
      <c r="K52" s="8"/>
      <c r="L52" s="12"/>
      <c r="M52" s="12">
        <f t="shared" si="8"/>
        <v>0.03016</v>
      </c>
      <c r="N52" s="10"/>
      <c r="O52" s="10"/>
      <c r="P52" s="10"/>
      <c r="Q52" s="10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>
      <c r="A53" s="6" t="s">
        <v>164</v>
      </c>
      <c r="B53" s="7" t="s">
        <v>39</v>
      </c>
      <c r="C53" s="7"/>
      <c r="D53" s="7"/>
      <c r="E53" s="7" t="s">
        <v>165</v>
      </c>
      <c r="F53" s="7"/>
      <c r="G53" s="7"/>
      <c r="H53" s="7" t="s">
        <v>93</v>
      </c>
      <c r="I53" s="7">
        <v>1000.0</v>
      </c>
      <c r="J53" s="7">
        <v>20.25</v>
      </c>
      <c r="K53" s="8"/>
      <c r="L53" s="12"/>
      <c r="M53" s="12">
        <f t="shared" si="8"/>
        <v>0.02025</v>
      </c>
      <c r="N53" s="10"/>
      <c r="O53" s="10"/>
      <c r="P53" s="10"/>
      <c r="Q53" s="10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>
      <c r="A54" s="6" t="s">
        <v>166</v>
      </c>
      <c r="B54" s="7" t="s">
        <v>39</v>
      </c>
      <c r="C54" s="7"/>
      <c r="D54" s="7"/>
      <c r="E54" s="7" t="s">
        <v>167</v>
      </c>
      <c r="F54" s="7"/>
      <c r="G54" s="7"/>
      <c r="H54" s="7" t="s">
        <v>93</v>
      </c>
      <c r="I54" s="7">
        <v>1000.0</v>
      </c>
      <c r="J54" s="7">
        <v>16.74</v>
      </c>
      <c r="K54" s="8"/>
      <c r="L54" s="12"/>
      <c r="M54" s="12">
        <f t="shared" si="8"/>
        <v>0.01674</v>
      </c>
      <c r="N54" s="10"/>
      <c r="O54" s="10"/>
      <c r="P54" s="10"/>
      <c r="Q54" s="10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>
      <c r="A55" s="6" t="s">
        <v>168</v>
      </c>
      <c r="B55" s="7" t="s">
        <v>39</v>
      </c>
      <c r="C55" s="7">
        <v>4.0</v>
      </c>
      <c r="D55" s="7">
        <v>1.0</v>
      </c>
      <c r="E55" s="7" t="s">
        <v>169</v>
      </c>
      <c r="F55" s="7"/>
      <c r="G55" s="7"/>
      <c r="H55" s="7" t="s">
        <v>93</v>
      </c>
      <c r="I55" s="7">
        <v>1000.0</v>
      </c>
      <c r="J55" s="7">
        <v>34.63</v>
      </c>
      <c r="K55" s="7" t="s">
        <v>26</v>
      </c>
      <c r="L55" s="12"/>
      <c r="M55" s="9">
        <f t="shared" si="8"/>
        <v>0.03463</v>
      </c>
      <c r="N55" s="10"/>
      <c r="O55" s="10"/>
      <c r="P55" s="10"/>
      <c r="Q55" s="10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>
      <c r="A56" s="6" t="s">
        <v>170</v>
      </c>
      <c r="B56" s="7" t="s">
        <v>39</v>
      </c>
      <c r="C56" s="7">
        <v>4.0</v>
      </c>
      <c r="D56" s="7">
        <v>1.0</v>
      </c>
      <c r="E56" s="7" t="s">
        <v>171</v>
      </c>
      <c r="F56" s="7"/>
      <c r="G56" s="7"/>
      <c r="H56" s="7" t="s">
        <v>93</v>
      </c>
      <c r="I56" s="7">
        <v>1000.0</v>
      </c>
      <c r="J56" s="7">
        <v>18.79</v>
      </c>
      <c r="K56" s="7" t="s">
        <v>26</v>
      </c>
      <c r="L56" s="12"/>
      <c r="M56" s="9">
        <f t="shared" si="8"/>
        <v>0.01879</v>
      </c>
      <c r="N56" s="10"/>
      <c r="O56" s="10"/>
      <c r="P56" s="10"/>
      <c r="Q56" s="10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>
      <c r="A57" s="6" t="s">
        <v>172</v>
      </c>
      <c r="B57" s="7" t="s">
        <v>39</v>
      </c>
      <c r="C57" s="7">
        <v>4.0</v>
      </c>
      <c r="D57" s="7">
        <v>1.0</v>
      </c>
      <c r="E57" s="7" t="s">
        <v>173</v>
      </c>
      <c r="F57" s="7"/>
      <c r="G57" s="7"/>
      <c r="H57" s="7" t="s">
        <v>93</v>
      </c>
      <c r="I57" s="7">
        <v>1000.0</v>
      </c>
      <c r="J57" s="7">
        <v>12.83</v>
      </c>
      <c r="K57" s="7" t="s">
        <v>26</v>
      </c>
      <c r="L57" s="12"/>
      <c r="M57" s="9">
        <f t="shared" si="8"/>
        <v>0.01283</v>
      </c>
      <c r="N57" s="10"/>
      <c r="O57" s="10"/>
      <c r="P57" s="10"/>
      <c r="Q57" s="10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>
      <c r="A58" s="6" t="s">
        <v>174</v>
      </c>
      <c r="B58" s="7" t="s">
        <v>39</v>
      </c>
      <c r="C58" s="7">
        <v>4.0</v>
      </c>
      <c r="D58" s="7">
        <v>1.0</v>
      </c>
      <c r="E58" s="7" t="s">
        <v>175</v>
      </c>
      <c r="F58" s="7"/>
      <c r="G58" s="7"/>
      <c r="H58" s="7" t="s">
        <v>93</v>
      </c>
      <c r="I58" s="7">
        <v>1000.0</v>
      </c>
      <c r="J58" s="7">
        <v>12.67</v>
      </c>
      <c r="K58" s="7" t="s">
        <v>26</v>
      </c>
      <c r="L58" s="12"/>
      <c r="M58" s="9">
        <f t="shared" si="8"/>
        <v>0.01267</v>
      </c>
      <c r="N58" s="10"/>
      <c r="O58" s="10"/>
      <c r="P58" s="10"/>
      <c r="Q58" s="10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>
      <c r="A59" s="6" t="s">
        <v>176</v>
      </c>
      <c r="B59" s="7" t="s">
        <v>39</v>
      </c>
      <c r="C59" s="7">
        <v>3.0</v>
      </c>
      <c r="D59" s="7">
        <v>2.0</v>
      </c>
      <c r="E59" s="7" t="s">
        <v>177</v>
      </c>
      <c r="F59" s="7">
        <v>708008.0</v>
      </c>
      <c r="G59" s="7"/>
      <c r="H59" s="7" t="s">
        <v>178</v>
      </c>
      <c r="I59" s="7">
        <v>10000.0</v>
      </c>
      <c r="J59" s="7">
        <v>166.32</v>
      </c>
      <c r="K59" s="7" t="s">
        <v>26</v>
      </c>
      <c r="L59" s="9" t="s">
        <v>179</v>
      </c>
      <c r="M59" s="9">
        <f t="shared" si="8"/>
        <v>0.016632</v>
      </c>
      <c r="N59" s="10"/>
      <c r="O59" s="10"/>
      <c r="P59" s="10"/>
      <c r="Q59" s="10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>
      <c r="A60" s="6" t="s">
        <v>180</v>
      </c>
      <c r="B60" s="7" t="s">
        <v>39</v>
      </c>
      <c r="C60" s="7">
        <v>3.0</v>
      </c>
      <c r="D60" s="7">
        <v>2.0</v>
      </c>
      <c r="E60" s="7" t="s">
        <v>181</v>
      </c>
      <c r="F60" s="7">
        <v>708008.0</v>
      </c>
      <c r="G60" s="7"/>
      <c r="H60" s="7" t="s">
        <v>178</v>
      </c>
      <c r="I60" s="7">
        <v>10000.0</v>
      </c>
      <c r="J60" s="7">
        <v>195.8</v>
      </c>
      <c r="K60" s="7" t="s">
        <v>26</v>
      </c>
      <c r="L60" s="9" t="s">
        <v>182</v>
      </c>
      <c r="M60" s="9">
        <f t="shared" si="8"/>
        <v>0.01958</v>
      </c>
      <c r="N60" s="10"/>
      <c r="O60" s="10"/>
      <c r="P60" s="10"/>
      <c r="Q60" s="10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>
      <c r="A61" s="6" t="s">
        <v>183</v>
      </c>
      <c r="B61" s="7" t="s">
        <v>39</v>
      </c>
      <c r="C61" s="7">
        <v>3.0</v>
      </c>
      <c r="D61" s="7">
        <v>2.0</v>
      </c>
      <c r="E61" s="7" t="s">
        <v>184</v>
      </c>
      <c r="F61" s="7">
        <v>708008.0</v>
      </c>
      <c r="G61" s="7"/>
      <c r="H61" s="7" t="s">
        <v>178</v>
      </c>
      <c r="I61" s="7">
        <v>20000.0</v>
      </c>
      <c r="J61" s="7">
        <v>207.9</v>
      </c>
      <c r="K61" s="7" t="s">
        <v>26</v>
      </c>
      <c r="L61" s="9" t="s">
        <v>185</v>
      </c>
      <c r="M61" s="9">
        <f t="shared" si="8"/>
        <v>0.010395</v>
      </c>
      <c r="N61" s="10"/>
      <c r="O61" s="10"/>
      <c r="P61" s="10"/>
      <c r="Q61" s="10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>
      <c r="A62" s="6" t="s">
        <v>186</v>
      </c>
      <c r="B62" s="7" t="s">
        <v>39</v>
      </c>
      <c r="C62" s="7">
        <v>2.0</v>
      </c>
      <c r="D62" s="7">
        <v>1.0</v>
      </c>
      <c r="E62" s="7" t="s">
        <v>40</v>
      </c>
      <c r="F62" s="8"/>
      <c r="G62" s="8"/>
      <c r="H62" s="8"/>
      <c r="I62" s="8"/>
      <c r="J62" s="8"/>
      <c r="K62" s="8"/>
      <c r="L62" s="12"/>
      <c r="M62" s="12"/>
      <c r="N62" s="10"/>
      <c r="O62" s="10"/>
      <c r="P62" s="10"/>
      <c r="Q62" s="10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>
      <c r="A63" s="6" t="s">
        <v>187</v>
      </c>
      <c r="B63" s="7" t="s">
        <v>39</v>
      </c>
      <c r="C63" s="7">
        <v>2.0</v>
      </c>
      <c r="D63" s="7">
        <v>1.0</v>
      </c>
      <c r="E63" s="7" t="s">
        <v>40</v>
      </c>
      <c r="F63" s="8"/>
      <c r="G63" s="8"/>
      <c r="H63" s="8"/>
      <c r="I63" s="8"/>
      <c r="J63" s="8"/>
      <c r="K63" s="8"/>
      <c r="L63" s="12"/>
      <c r="M63" s="12"/>
      <c r="N63" s="10"/>
      <c r="O63" s="10"/>
      <c r="P63" s="10"/>
      <c r="Q63" s="10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>
      <c r="A64" s="6" t="s">
        <v>188</v>
      </c>
      <c r="B64" s="7" t="s">
        <v>39</v>
      </c>
      <c r="C64" s="7">
        <v>2.0</v>
      </c>
      <c r="D64" s="7">
        <v>2.0</v>
      </c>
      <c r="E64" s="7" t="s">
        <v>189</v>
      </c>
      <c r="F64" s="7">
        <v>698256.0</v>
      </c>
      <c r="G64" s="7"/>
      <c r="H64" s="7" t="s">
        <v>48</v>
      </c>
      <c r="I64" s="7">
        <v>3000.0</v>
      </c>
      <c r="J64" s="7">
        <v>106.59</v>
      </c>
      <c r="K64" s="7" t="s">
        <v>26</v>
      </c>
      <c r="L64" s="9" t="s">
        <v>49</v>
      </c>
      <c r="M64" s="12">
        <f t="shared" ref="M64:M65" si="9">J64/I64</f>
        <v>0.03553</v>
      </c>
      <c r="N64" s="10"/>
      <c r="O64" s="10"/>
      <c r="P64" s="10"/>
      <c r="Q64" s="10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>
      <c r="A65" s="6" t="s">
        <v>190</v>
      </c>
      <c r="B65" s="7" t="s">
        <v>191</v>
      </c>
      <c r="C65" s="7"/>
      <c r="D65" s="7"/>
      <c r="E65" s="7" t="s">
        <v>192</v>
      </c>
      <c r="F65" s="7">
        <v>698256.0</v>
      </c>
      <c r="G65" s="7"/>
      <c r="H65" s="7" t="s">
        <v>48</v>
      </c>
      <c r="I65" s="7">
        <v>3000.0</v>
      </c>
      <c r="J65" s="7">
        <v>153.72</v>
      </c>
      <c r="K65" s="7" t="s">
        <v>26</v>
      </c>
      <c r="L65" s="9" t="s">
        <v>52</v>
      </c>
      <c r="M65" s="12">
        <f t="shared" si="9"/>
        <v>0.05124</v>
      </c>
      <c r="N65" s="10"/>
      <c r="O65" s="10"/>
      <c r="P65" s="10"/>
      <c r="Q65" s="10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>
      <c r="A66" s="6" t="s">
        <v>193</v>
      </c>
      <c r="B66" s="7" t="s">
        <v>39</v>
      </c>
      <c r="C66" s="7">
        <v>1.0</v>
      </c>
      <c r="D66" s="7">
        <v>1.0</v>
      </c>
      <c r="E66" s="8"/>
      <c r="F66" s="8"/>
      <c r="G66" s="8"/>
      <c r="H66" s="8"/>
      <c r="I66" s="8"/>
      <c r="J66" s="8"/>
      <c r="K66" s="8"/>
      <c r="L66" s="9" t="s">
        <v>194</v>
      </c>
      <c r="M66" s="9" t="s">
        <v>195</v>
      </c>
      <c r="N66" s="10"/>
      <c r="O66" s="10"/>
      <c r="P66" s="10"/>
      <c r="Q66" s="10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>
      <c r="A67" s="6" t="s">
        <v>196</v>
      </c>
      <c r="B67" s="7" t="s">
        <v>197</v>
      </c>
      <c r="C67" s="7"/>
      <c r="D67" s="7"/>
      <c r="E67" s="7" t="s">
        <v>198</v>
      </c>
      <c r="F67" s="7"/>
      <c r="G67" s="7"/>
      <c r="H67" s="7" t="s">
        <v>199</v>
      </c>
      <c r="I67" s="7">
        <v>20.0</v>
      </c>
      <c r="J67" s="7">
        <v>10.11</v>
      </c>
      <c r="K67" s="7" t="s">
        <v>26</v>
      </c>
      <c r="L67" s="12"/>
      <c r="M67" s="12">
        <f t="shared" ref="M67:M108" si="10">J67/I67</f>
        <v>0.5055</v>
      </c>
      <c r="N67" s="10"/>
      <c r="O67" s="10"/>
      <c r="P67" s="10"/>
      <c r="Q67" s="10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>
      <c r="A68" s="6" t="s">
        <v>200</v>
      </c>
      <c r="B68" s="7" t="s">
        <v>197</v>
      </c>
      <c r="C68" s="7">
        <v>53.0</v>
      </c>
      <c r="D68" s="7">
        <v>14.0</v>
      </c>
      <c r="E68" s="8"/>
      <c r="F68" s="7"/>
      <c r="G68" s="7"/>
      <c r="H68" s="7" t="s">
        <v>201</v>
      </c>
      <c r="I68" s="7">
        <v>5000.0</v>
      </c>
      <c r="J68" s="7">
        <v>3.57</v>
      </c>
      <c r="K68" s="7" t="s">
        <v>94</v>
      </c>
      <c r="L68" s="9" t="s">
        <v>202</v>
      </c>
      <c r="M68" s="12">
        <f t="shared" si="10"/>
        <v>0.000714</v>
      </c>
      <c r="N68" s="10"/>
      <c r="O68" s="10"/>
      <c r="P68" s="10"/>
      <c r="Q68" s="10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>
      <c r="A69" s="6" t="s">
        <v>203</v>
      </c>
      <c r="B69" s="7" t="s">
        <v>197</v>
      </c>
      <c r="C69" s="7">
        <v>26.0</v>
      </c>
      <c r="D69" s="7">
        <v>14.0</v>
      </c>
      <c r="E69" s="8"/>
      <c r="F69" s="7"/>
      <c r="G69" s="7"/>
      <c r="H69" s="7" t="s">
        <v>201</v>
      </c>
      <c r="I69" s="7">
        <v>5000.0</v>
      </c>
      <c r="J69" s="7">
        <v>3.57</v>
      </c>
      <c r="K69" s="7" t="s">
        <v>94</v>
      </c>
      <c r="L69" s="9" t="s">
        <v>204</v>
      </c>
      <c r="M69" s="12">
        <f t="shared" si="10"/>
        <v>0.000714</v>
      </c>
      <c r="N69" s="10"/>
      <c r="O69" s="10"/>
      <c r="P69" s="10"/>
      <c r="Q69" s="10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>
      <c r="A70" s="6" t="s">
        <v>205</v>
      </c>
      <c r="B70" s="7" t="s">
        <v>197</v>
      </c>
      <c r="C70" s="7">
        <v>13.0</v>
      </c>
      <c r="D70" s="7">
        <v>11.0</v>
      </c>
      <c r="E70" s="8"/>
      <c r="F70" s="7"/>
      <c r="G70" s="7"/>
      <c r="H70" s="7" t="s">
        <v>201</v>
      </c>
      <c r="I70" s="7">
        <v>5000.0</v>
      </c>
      <c r="J70" s="7">
        <v>3.57</v>
      </c>
      <c r="K70" s="7" t="s">
        <v>94</v>
      </c>
      <c r="L70" s="12"/>
      <c r="M70" s="12">
        <f t="shared" si="10"/>
        <v>0.000714</v>
      </c>
      <c r="N70" s="10"/>
      <c r="O70" s="10"/>
      <c r="P70" s="10"/>
      <c r="Q70" s="10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>
      <c r="A71" s="6" t="s">
        <v>206</v>
      </c>
      <c r="B71" s="7" t="s">
        <v>197</v>
      </c>
      <c r="C71" s="7">
        <v>13.0</v>
      </c>
      <c r="D71" s="7">
        <v>8.0</v>
      </c>
      <c r="E71" s="8"/>
      <c r="F71" s="7"/>
      <c r="G71" s="7"/>
      <c r="H71" s="7" t="s">
        <v>201</v>
      </c>
      <c r="I71" s="7">
        <v>5000.0</v>
      </c>
      <c r="J71" s="7">
        <v>3.57</v>
      </c>
      <c r="K71" s="7" t="s">
        <v>94</v>
      </c>
      <c r="L71" s="9" t="s">
        <v>207</v>
      </c>
      <c r="M71" s="12">
        <f t="shared" si="10"/>
        <v>0.000714</v>
      </c>
      <c r="N71" s="10"/>
      <c r="O71" s="10"/>
      <c r="P71" s="10"/>
      <c r="Q71" s="10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>
      <c r="A72" s="6" t="s">
        <v>208</v>
      </c>
      <c r="B72" s="7" t="s">
        <v>197</v>
      </c>
      <c r="C72" s="7">
        <v>12.0</v>
      </c>
      <c r="D72" s="7">
        <v>8.0</v>
      </c>
      <c r="E72" s="8"/>
      <c r="F72" s="7"/>
      <c r="G72" s="7"/>
      <c r="H72" s="7" t="s">
        <v>201</v>
      </c>
      <c r="I72" s="7">
        <v>5000.0</v>
      </c>
      <c r="J72" s="7">
        <v>3.57</v>
      </c>
      <c r="K72" s="7" t="s">
        <v>94</v>
      </c>
      <c r="L72" s="12"/>
      <c r="M72" s="12">
        <f t="shared" si="10"/>
        <v>0.000714</v>
      </c>
      <c r="N72" s="10"/>
      <c r="O72" s="10"/>
      <c r="P72" s="10"/>
      <c r="Q72" s="10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>
      <c r="A73" s="6" t="s">
        <v>209</v>
      </c>
      <c r="B73" s="7" t="s">
        <v>197</v>
      </c>
      <c r="C73" s="7">
        <v>11.0</v>
      </c>
      <c r="D73" s="7">
        <v>6.0</v>
      </c>
      <c r="E73" s="7" t="s">
        <v>210</v>
      </c>
      <c r="F73" s="7"/>
      <c r="G73" s="7"/>
      <c r="H73" s="7" t="s">
        <v>201</v>
      </c>
      <c r="I73" s="7">
        <v>5000.0</v>
      </c>
      <c r="J73" s="7">
        <v>5.09</v>
      </c>
      <c r="K73" s="7" t="s">
        <v>26</v>
      </c>
      <c r="L73" s="12"/>
      <c r="M73" s="12">
        <f t="shared" si="10"/>
        <v>0.001018</v>
      </c>
      <c r="N73" s="10"/>
      <c r="O73" s="10"/>
      <c r="P73" s="10"/>
      <c r="Q73" s="10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>
      <c r="A74" s="6" t="s">
        <v>211</v>
      </c>
      <c r="B74" s="7" t="s">
        <v>197</v>
      </c>
      <c r="C74" s="7">
        <v>11.0</v>
      </c>
      <c r="D74" s="7">
        <v>1.0</v>
      </c>
      <c r="E74" s="8"/>
      <c r="F74" s="7"/>
      <c r="G74" s="7"/>
      <c r="H74" s="7" t="s">
        <v>201</v>
      </c>
      <c r="I74" s="7">
        <v>5000.0</v>
      </c>
      <c r="J74" s="7">
        <v>3.57</v>
      </c>
      <c r="K74" s="7" t="s">
        <v>94</v>
      </c>
      <c r="L74" s="12"/>
      <c r="M74" s="12">
        <f t="shared" si="10"/>
        <v>0.000714</v>
      </c>
      <c r="N74" s="10"/>
      <c r="O74" s="10"/>
      <c r="P74" s="10"/>
      <c r="Q74" s="10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>
      <c r="A75" s="6" t="s">
        <v>212</v>
      </c>
      <c r="B75" s="7" t="s">
        <v>197</v>
      </c>
      <c r="C75" s="7"/>
      <c r="D75" s="7"/>
      <c r="E75" s="7"/>
      <c r="F75" s="7">
        <v>704283.0</v>
      </c>
      <c r="G75" s="7"/>
      <c r="H75" s="7" t="s">
        <v>201</v>
      </c>
      <c r="I75" s="7">
        <v>5000.0</v>
      </c>
      <c r="J75" s="7">
        <v>3.57</v>
      </c>
      <c r="K75" s="7" t="s">
        <v>94</v>
      </c>
      <c r="L75" s="9" t="s">
        <v>213</v>
      </c>
      <c r="M75" s="12">
        <f t="shared" si="10"/>
        <v>0.000714</v>
      </c>
      <c r="N75" s="10"/>
      <c r="O75" s="16">
        <v>3.57</v>
      </c>
      <c r="P75" s="10"/>
      <c r="Q75" s="10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>
      <c r="A76" s="6" t="s">
        <v>214</v>
      </c>
      <c r="B76" s="7" t="s">
        <v>197</v>
      </c>
      <c r="C76" s="7"/>
      <c r="D76" s="7"/>
      <c r="E76" s="7"/>
      <c r="F76" s="7"/>
      <c r="G76" s="7" t="s">
        <v>215</v>
      </c>
      <c r="H76" s="7" t="s">
        <v>201</v>
      </c>
      <c r="I76" s="7">
        <v>5000.0</v>
      </c>
      <c r="J76" s="7">
        <v>3.57</v>
      </c>
      <c r="K76" s="7" t="s">
        <v>94</v>
      </c>
      <c r="L76" s="9" t="s">
        <v>216</v>
      </c>
      <c r="M76" s="12">
        <f t="shared" si="10"/>
        <v>0.000714</v>
      </c>
      <c r="N76" s="10"/>
      <c r="O76" s="16"/>
      <c r="P76" s="10"/>
      <c r="Q76" s="10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>
      <c r="A77" s="6" t="s">
        <v>217</v>
      </c>
      <c r="B77" s="7" t="s">
        <v>197</v>
      </c>
      <c r="C77" s="7">
        <v>7.0</v>
      </c>
      <c r="D77" s="7">
        <v>4.0</v>
      </c>
      <c r="E77" s="8"/>
      <c r="F77" s="7"/>
      <c r="G77" s="7"/>
      <c r="H77" s="7" t="s">
        <v>201</v>
      </c>
      <c r="I77" s="7">
        <v>5000.0</v>
      </c>
      <c r="J77" s="7">
        <v>3.57</v>
      </c>
      <c r="K77" s="7" t="s">
        <v>94</v>
      </c>
      <c r="L77" s="12"/>
      <c r="M77" s="12">
        <f t="shared" si="10"/>
        <v>0.000714</v>
      </c>
      <c r="N77" s="10"/>
      <c r="O77" s="10"/>
      <c r="P77" s="10"/>
      <c r="Q77" s="10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>
      <c r="A78" s="6" t="s">
        <v>218</v>
      </c>
      <c r="B78" s="7" t="s">
        <v>197</v>
      </c>
      <c r="C78" s="7">
        <v>7.0</v>
      </c>
      <c r="D78" s="7">
        <v>5.0</v>
      </c>
      <c r="E78" s="8"/>
      <c r="F78" s="7"/>
      <c r="G78" s="7"/>
      <c r="H78" s="7" t="s">
        <v>201</v>
      </c>
      <c r="I78" s="7">
        <v>5000.0</v>
      </c>
      <c r="J78" s="7">
        <v>3.57</v>
      </c>
      <c r="K78" s="7" t="s">
        <v>94</v>
      </c>
      <c r="L78" s="12"/>
      <c r="M78" s="12">
        <f t="shared" si="10"/>
        <v>0.000714</v>
      </c>
      <c r="N78" s="10"/>
      <c r="O78" s="10"/>
      <c r="P78" s="10"/>
      <c r="Q78" s="10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>
      <c r="A79" s="6" t="s">
        <v>219</v>
      </c>
      <c r="B79" s="7" t="s">
        <v>197</v>
      </c>
      <c r="C79" s="7">
        <v>5.0</v>
      </c>
      <c r="D79" s="7">
        <v>1.0</v>
      </c>
      <c r="E79" s="8"/>
      <c r="F79" s="7"/>
      <c r="G79" s="7"/>
      <c r="H79" s="7" t="s">
        <v>201</v>
      </c>
      <c r="I79" s="7">
        <v>5000.0</v>
      </c>
      <c r="J79" s="7">
        <v>3.57</v>
      </c>
      <c r="K79" s="7" t="s">
        <v>94</v>
      </c>
      <c r="L79" s="12"/>
      <c r="M79" s="12">
        <f t="shared" si="10"/>
        <v>0.000714</v>
      </c>
      <c r="N79" s="10"/>
      <c r="O79" s="10"/>
      <c r="P79" s="10"/>
      <c r="Q79" s="10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>
      <c r="A80" s="6" t="s">
        <v>220</v>
      </c>
      <c r="B80" s="7" t="s">
        <v>197</v>
      </c>
      <c r="C80" s="7">
        <v>4.0</v>
      </c>
      <c r="D80" s="7">
        <v>3.0</v>
      </c>
      <c r="E80" s="8"/>
      <c r="F80" s="7"/>
      <c r="G80" s="7"/>
      <c r="H80" s="7" t="s">
        <v>201</v>
      </c>
      <c r="I80" s="7">
        <v>5000.0</v>
      </c>
      <c r="J80" s="7">
        <v>3.57</v>
      </c>
      <c r="K80" s="7" t="s">
        <v>94</v>
      </c>
      <c r="L80" s="12"/>
      <c r="M80" s="12">
        <f t="shared" si="10"/>
        <v>0.000714</v>
      </c>
      <c r="N80" s="10"/>
      <c r="O80" s="10"/>
      <c r="P80" s="10"/>
      <c r="Q80" s="10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>
      <c r="A81" s="6" t="s">
        <v>221</v>
      </c>
      <c r="B81" s="7" t="s">
        <v>197</v>
      </c>
      <c r="C81" s="7">
        <v>4.0</v>
      </c>
      <c r="D81" s="7">
        <v>4.0</v>
      </c>
      <c r="E81" s="8"/>
      <c r="F81" s="7"/>
      <c r="G81" s="7"/>
      <c r="H81" s="7" t="s">
        <v>201</v>
      </c>
      <c r="I81" s="7">
        <v>5000.0</v>
      </c>
      <c r="J81" s="7">
        <v>3.57</v>
      </c>
      <c r="K81" s="7" t="s">
        <v>94</v>
      </c>
      <c r="L81" s="12"/>
      <c r="M81" s="12">
        <f t="shared" si="10"/>
        <v>0.000714</v>
      </c>
      <c r="N81" s="10"/>
      <c r="O81" s="10"/>
      <c r="P81" s="10"/>
      <c r="Q81" s="10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>
      <c r="A82" s="6" t="s">
        <v>222</v>
      </c>
      <c r="B82" s="7" t="s">
        <v>197</v>
      </c>
      <c r="C82" s="7">
        <v>4.0</v>
      </c>
      <c r="D82" s="7">
        <v>3.0</v>
      </c>
      <c r="E82" s="8"/>
      <c r="F82" s="7"/>
      <c r="G82" s="7"/>
      <c r="H82" s="7" t="s">
        <v>201</v>
      </c>
      <c r="I82" s="7">
        <v>5000.0</v>
      </c>
      <c r="J82" s="7">
        <v>3.57</v>
      </c>
      <c r="K82" s="7" t="s">
        <v>94</v>
      </c>
      <c r="L82" s="12"/>
      <c r="M82" s="12">
        <f t="shared" si="10"/>
        <v>0.000714</v>
      </c>
      <c r="N82" s="10"/>
      <c r="O82" s="10"/>
      <c r="P82" s="10"/>
      <c r="Q82" s="10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>
      <c r="A83" s="6" t="s">
        <v>223</v>
      </c>
      <c r="B83" s="7" t="s">
        <v>197</v>
      </c>
      <c r="C83" s="7">
        <v>3.0</v>
      </c>
      <c r="D83" s="7">
        <v>1.0</v>
      </c>
      <c r="E83" s="8"/>
      <c r="F83" s="7"/>
      <c r="G83" s="7"/>
      <c r="H83" s="7" t="s">
        <v>201</v>
      </c>
      <c r="I83" s="7">
        <v>5000.0</v>
      </c>
      <c r="J83" s="7">
        <v>3.57</v>
      </c>
      <c r="K83" s="7" t="s">
        <v>94</v>
      </c>
      <c r="L83" s="12"/>
      <c r="M83" s="12">
        <f t="shared" si="10"/>
        <v>0.000714</v>
      </c>
      <c r="N83" s="10"/>
      <c r="O83" s="10"/>
      <c r="P83" s="10"/>
      <c r="Q83" s="10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>
      <c r="A84" s="6" t="s">
        <v>224</v>
      </c>
      <c r="B84" s="7" t="s">
        <v>197</v>
      </c>
      <c r="C84" s="7">
        <v>3.0</v>
      </c>
      <c r="D84" s="7">
        <v>3.0</v>
      </c>
      <c r="E84" s="8"/>
      <c r="F84" s="7"/>
      <c r="G84" s="7"/>
      <c r="H84" s="7" t="s">
        <v>201</v>
      </c>
      <c r="I84" s="7">
        <v>5000.0</v>
      </c>
      <c r="J84" s="7">
        <v>3.57</v>
      </c>
      <c r="K84" s="7" t="s">
        <v>94</v>
      </c>
      <c r="L84" s="12"/>
      <c r="M84" s="12">
        <f t="shared" si="10"/>
        <v>0.000714</v>
      </c>
      <c r="N84" s="10"/>
      <c r="O84" s="10"/>
      <c r="P84" s="10"/>
      <c r="Q84" s="10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>
      <c r="A85" s="6" t="s">
        <v>225</v>
      </c>
      <c r="B85" s="7" t="s">
        <v>197</v>
      </c>
      <c r="C85" s="7">
        <v>3.0</v>
      </c>
      <c r="D85" s="7">
        <v>2.0</v>
      </c>
      <c r="E85" s="8"/>
      <c r="F85" s="7"/>
      <c r="G85" s="7"/>
      <c r="H85" s="7" t="s">
        <v>201</v>
      </c>
      <c r="I85" s="7">
        <v>5000.0</v>
      </c>
      <c r="J85" s="7">
        <v>3.57</v>
      </c>
      <c r="K85" s="7" t="s">
        <v>94</v>
      </c>
      <c r="L85" s="12"/>
      <c r="M85" s="12">
        <f t="shared" si="10"/>
        <v>0.000714</v>
      </c>
      <c r="N85" s="10"/>
      <c r="O85" s="10"/>
      <c r="P85" s="10"/>
      <c r="Q85" s="10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>
      <c r="A86" s="6" t="s">
        <v>226</v>
      </c>
      <c r="B86" s="7" t="s">
        <v>197</v>
      </c>
      <c r="C86" s="7">
        <v>2.0</v>
      </c>
      <c r="D86" s="7">
        <v>2.0</v>
      </c>
      <c r="E86" s="8"/>
      <c r="F86" s="7"/>
      <c r="G86" s="7"/>
      <c r="H86" s="7" t="s">
        <v>201</v>
      </c>
      <c r="I86" s="7">
        <v>5000.0</v>
      </c>
      <c r="J86" s="7">
        <v>3.57</v>
      </c>
      <c r="K86" s="7" t="s">
        <v>94</v>
      </c>
      <c r="L86" s="12"/>
      <c r="M86" s="12">
        <f t="shared" si="10"/>
        <v>0.000714</v>
      </c>
      <c r="N86" s="10"/>
      <c r="O86" s="10"/>
      <c r="P86" s="10"/>
      <c r="Q86" s="10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>
      <c r="A87" s="6" t="s">
        <v>227</v>
      </c>
      <c r="B87" s="7" t="s">
        <v>197</v>
      </c>
      <c r="C87" s="7">
        <v>2.0</v>
      </c>
      <c r="D87" s="7">
        <v>2.0</v>
      </c>
      <c r="E87" s="8"/>
      <c r="F87" s="7"/>
      <c r="G87" s="7"/>
      <c r="H87" s="7" t="s">
        <v>201</v>
      </c>
      <c r="I87" s="7">
        <v>5000.0</v>
      </c>
      <c r="J87" s="7">
        <v>3.57</v>
      </c>
      <c r="K87" s="7" t="s">
        <v>94</v>
      </c>
      <c r="L87" s="12"/>
      <c r="M87" s="12">
        <f t="shared" si="10"/>
        <v>0.000714</v>
      </c>
      <c r="N87" s="10"/>
      <c r="O87" s="10"/>
      <c r="P87" s="10"/>
      <c r="Q87" s="10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>
      <c r="A88" s="6" t="s">
        <v>228</v>
      </c>
      <c r="B88" s="7" t="s">
        <v>197</v>
      </c>
      <c r="C88" s="7">
        <v>2.0</v>
      </c>
      <c r="D88" s="7">
        <v>2.0</v>
      </c>
      <c r="E88" s="8"/>
      <c r="F88" s="7"/>
      <c r="G88" s="7"/>
      <c r="H88" s="7" t="s">
        <v>201</v>
      </c>
      <c r="I88" s="7">
        <v>5000.0</v>
      </c>
      <c r="J88" s="7">
        <v>3.57</v>
      </c>
      <c r="K88" s="7" t="s">
        <v>94</v>
      </c>
      <c r="L88" s="12"/>
      <c r="M88" s="12">
        <f t="shared" si="10"/>
        <v>0.000714</v>
      </c>
      <c r="N88" s="10"/>
      <c r="O88" s="10"/>
      <c r="P88" s="10"/>
      <c r="Q88" s="10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>
      <c r="A89" s="6" t="s">
        <v>229</v>
      </c>
      <c r="B89" s="7" t="s">
        <v>197</v>
      </c>
      <c r="C89" s="7">
        <v>2.0</v>
      </c>
      <c r="D89" s="7">
        <v>2.0</v>
      </c>
      <c r="E89" s="8"/>
      <c r="F89" s="7"/>
      <c r="G89" s="7"/>
      <c r="H89" s="7" t="s">
        <v>201</v>
      </c>
      <c r="I89" s="7">
        <v>5000.0</v>
      </c>
      <c r="J89" s="7">
        <v>3.57</v>
      </c>
      <c r="K89" s="7" t="s">
        <v>94</v>
      </c>
      <c r="L89" s="12"/>
      <c r="M89" s="12">
        <f t="shared" si="10"/>
        <v>0.000714</v>
      </c>
      <c r="N89" s="10"/>
      <c r="O89" s="10"/>
      <c r="P89" s="10"/>
      <c r="Q89" s="10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>
      <c r="A90" s="6" t="s">
        <v>230</v>
      </c>
      <c r="B90" s="7" t="s">
        <v>197</v>
      </c>
      <c r="C90" s="7">
        <v>1.0</v>
      </c>
      <c r="D90" s="7">
        <v>1.0</v>
      </c>
      <c r="E90" s="8"/>
      <c r="F90" s="7"/>
      <c r="G90" s="7"/>
      <c r="H90" s="7" t="s">
        <v>201</v>
      </c>
      <c r="I90" s="7">
        <v>5000.0</v>
      </c>
      <c r="J90" s="7">
        <v>3.57</v>
      </c>
      <c r="K90" s="7" t="s">
        <v>94</v>
      </c>
      <c r="L90" s="12"/>
      <c r="M90" s="12">
        <f t="shared" si="10"/>
        <v>0.000714</v>
      </c>
      <c r="N90" s="10"/>
      <c r="O90" s="10"/>
      <c r="P90" s="10"/>
      <c r="Q90" s="10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>
      <c r="A91" s="6" t="s">
        <v>231</v>
      </c>
      <c r="B91" s="7" t="s">
        <v>197</v>
      </c>
      <c r="C91" s="7">
        <v>1.0</v>
      </c>
      <c r="D91" s="7">
        <v>1.0</v>
      </c>
      <c r="E91" s="8"/>
      <c r="F91" s="7"/>
      <c r="G91" s="7"/>
      <c r="H91" s="7" t="s">
        <v>201</v>
      </c>
      <c r="I91" s="7">
        <v>5000.0</v>
      </c>
      <c r="J91" s="7">
        <v>3.57</v>
      </c>
      <c r="K91" s="7" t="s">
        <v>94</v>
      </c>
      <c r="L91" s="12"/>
      <c r="M91" s="12">
        <f t="shared" si="10"/>
        <v>0.000714</v>
      </c>
      <c r="N91" s="10"/>
      <c r="O91" s="10"/>
      <c r="P91" s="10"/>
      <c r="Q91" s="10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>
      <c r="A92" s="6" t="s">
        <v>232</v>
      </c>
      <c r="B92" s="7" t="s">
        <v>197</v>
      </c>
      <c r="C92" s="7">
        <v>1.0</v>
      </c>
      <c r="D92" s="7">
        <v>1.0</v>
      </c>
      <c r="E92" s="8"/>
      <c r="F92" s="7"/>
      <c r="G92" s="7"/>
      <c r="H92" s="7" t="s">
        <v>201</v>
      </c>
      <c r="I92" s="7">
        <v>5000.0</v>
      </c>
      <c r="J92" s="7">
        <v>3.57</v>
      </c>
      <c r="K92" s="7" t="s">
        <v>94</v>
      </c>
      <c r="L92" s="12"/>
      <c r="M92" s="12">
        <f t="shared" si="10"/>
        <v>0.000714</v>
      </c>
      <c r="N92" s="10"/>
      <c r="O92" s="10"/>
      <c r="P92" s="10"/>
      <c r="Q92" s="10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>
      <c r="A93" s="6" t="s">
        <v>233</v>
      </c>
      <c r="B93" s="7" t="s">
        <v>197</v>
      </c>
      <c r="C93" s="7">
        <v>1.0</v>
      </c>
      <c r="D93" s="7">
        <v>1.0</v>
      </c>
      <c r="E93" s="8"/>
      <c r="F93" s="7"/>
      <c r="G93" s="7"/>
      <c r="H93" s="7" t="s">
        <v>201</v>
      </c>
      <c r="I93" s="7">
        <v>5000.0</v>
      </c>
      <c r="J93" s="7">
        <v>3.57</v>
      </c>
      <c r="K93" s="7" t="s">
        <v>94</v>
      </c>
      <c r="L93" s="12"/>
      <c r="M93" s="12">
        <f t="shared" si="10"/>
        <v>0.000714</v>
      </c>
      <c r="N93" s="10"/>
      <c r="O93" s="10"/>
      <c r="P93" s="10"/>
      <c r="Q93" s="10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>
      <c r="A94" s="6" t="s">
        <v>234</v>
      </c>
      <c r="B94" s="7" t="s">
        <v>197</v>
      </c>
      <c r="C94" s="7">
        <v>1.0</v>
      </c>
      <c r="D94" s="7">
        <v>1.0</v>
      </c>
      <c r="E94" s="8"/>
      <c r="F94" s="7"/>
      <c r="G94" s="7"/>
      <c r="H94" s="7" t="s">
        <v>201</v>
      </c>
      <c r="I94" s="7">
        <v>5000.0</v>
      </c>
      <c r="J94" s="7">
        <v>3.57</v>
      </c>
      <c r="K94" s="7" t="s">
        <v>94</v>
      </c>
      <c r="L94" s="12"/>
      <c r="M94" s="12">
        <f t="shared" si="10"/>
        <v>0.000714</v>
      </c>
      <c r="N94" s="10"/>
      <c r="O94" s="10"/>
      <c r="P94" s="10"/>
      <c r="Q94" s="10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>
      <c r="A95" s="6" t="s">
        <v>235</v>
      </c>
      <c r="B95" s="7" t="s">
        <v>197</v>
      </c>
      <c r="C95" s="7">
        <v>1.0</v>
      </c>
      <c r="D95" s="7">
        <v>1.0</v>
      </c>
      <c r="E95" s="8"/>
      <c r="F95" s="7"/>
      <c r="G95" s="7"/>
      <c r="H95" s="7" t="s">
        <v>201</v>
      </c>
      <c r="I95" s="7">
        <v>5000.0</v>
      </c>
      <c r="J95" s="7">
        <v>3.57</v>
      </c>
      <c r="K95" s="7" t="s">
        <v>94</v>
      </c>
      <c r="L95" s="12"/>
      <c r="M95" s="12">
        <f t="shared" si="10"/>
        <v>0.000714</v>
      </c>
      <c r="N95" s="10"/>
      <c r="O95" s="10"/>
      <c r="P95" s="10"/>
      <c r="Q95" s="10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>
      <c r="A96" s="6" t="s">
        <v>236</v>
      </c>
      <c r="B96" s="7" t="s">
        <v>197</v>
      </c>
      <c r="C96" s="7">
        <v>1.0</v>
      </c>
      <c r="D96" s="7">
        <v>1.0</v>
      </c>
      <c r="E96" s="8"/>
      <c r="F96" s="7"/>
      <c r="G96" s="7"/>
      <c r="H96" s="7" t="s">
        <v>201</v>
      </c>
      <c r="I96" s="7">
        <v>5000.0</v>
      </c>
      <c r="J96" s="7">
        <v>3.57</v>
      </c>
      <c r="K96" s="7" t="s">
        <v>94</v>
      </c>
      <c r="L96" s="12"/>
      <c r="M96" s="12">
        <f t="shared" si="10"/>
        <v>0.000714</v>
      </c>
      <c r="N96" s="10"/>
      <c r="O96" s="10"/>
      <c r="P96" s="10"/>
      <c r="Q96" s="10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>
      <c r="A97" s="6" t="s">
        <v>237</v>
      </c>
      <c r="B97" s="7" t="s">
        <v>197</v>
      </c>
      <c r="C97" s="7">
        <v>1.0</v>
      </c>
      <c r="D97" s="7">
        <v>1.0</v>
      </c>
      <c r="E97" s="8"/>
      <c r="F97" s="7"/>
      <c r="G97" s="7"/>
      <c r="H97" s="7" t="s">
        <v>201</v>
      </c>
      <c r="I97" s="7">
        <v>5000.0</v>
      </c>
      <c r="J97" s="7">
        <v>3.57</v>
      </c>
      <c r="K97" s="7" t="s">
        <v>94</v>
      </c>
      <c r="L97" s="12"/>
      <c r="M97" s="12">
        <f t="shared" si="10"/>
        <v>0.000714</v>
      </c>
      <c r="N97" s="10"/>
      <c r="O97" s="10"/>
      <c r="P97" s="10"/>
      <c r="Q97" s="10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>
      <c r="A98" s="6" t="s">
        <v>238</v>
      </c>
      <c r="B98" s="7" t="s">
        <v>197</v>
      </c>
      <c r="C98" s="7">
        <v>1.0</v>
      </c>
      <c r="D98" s="7">
        <v>1.0</v>
      </c>
      <c r="E98" s="8"/>
      <c r="F98" s="7"/>
      <c r="G98" s="7"/>
      <c r="H98" s="7" t="s">
        <v>201</v>
      </c>
      <c r="I98" s="7">
        <v>5000.0</v>
      </c>
      <c r="J98" s="7">
        <v>3.57</v>
      </c>
      <c r="K98" s="7" t="s">
        <v>94</v>
      </c>
      <c r="L98" s="12"/>
      <c r="M98" s="12">
        <f t="shared" si="10"/>
        <v>0.000714</v>
      </c>
      <c r="N98" s="10"/>
      <c r="O98" s="10"/>
      <c r="P98" s="10"/>
      <c r="Q98" s="10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>
      <c r="A99" s="6" t="s">
        <v>239</v>
      </c>
      <c r="B99" s="7" t="s">
        <v>197</v>
      </c>
      <c r="C99" s="7">
        <v>1.0</v>
      </c>
      <c r="D99" s="7">
        <v>1.0</v>
      </c>
      <c r="E99" s="8"/>
      <c r="F99" s="7"/>
      <c r="G99" s="7"/>
      <c r="H99" s="7" t="s">
        <v>201</v>
      </c>
      <c r="I99" s="7">
        <v>5000.0</v>
      </c>
      <c r="J99" s="7">
        <v>3.57</v>
      </c>
      <c r="K99" s="7" t="s">
        <v>94</v>
      </c>
      <c r="L99" s="12"/>
      <c r="M99" s="12">
        <f t="shared" si="10"/>
        <v>0.000714</v>
      </c>
      <c r="N99" s="10"/>
      <c r="O99" s="10"/>
      <c r="P99" s="10"/>
      <c r="Q99" s="10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>
      <c r="A100" s="6" t="s">
        <v>240</v>
      </c>
      <c r="B100" s="7" t="s">
        <v>197</v>
      </c>
      <c r="C100" s="7">
        <v>1.0</v>
      </c>
      <c r="D100" s="7">
        <v>1.0</v>
      </c>
      <c r="E100" s="8"/>
      <c r="F100" s="7"/>
      <c r="G100" s="7"/>
      <c r="H100" s="7" t="s">
        <v>201</v>
      </c>
      <c r="I100" s="7">
        <v>5000.0</v>
      </c>
      <c r="J100" s="7">
        <v>3.57</v>
      </c>
      <c r="K100" s="7" t="s">
        <v>94</v>
      </c>
      <c r="L100" s="12"/>
      <c r="M100" s="12">
        <f t="shared" si="10"/>
        <v>0.000714</v>
      </c>
      <c r="N100" s="10"/>
      <c r="O100" s="10"/>
      <c r="P100" s="10"/>
      <c r="Q100" s="10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>
      <c r="A101" s="6" t="s">
        <v>241</v>
      </c>
      <c r="B101" s="7" t="s">
        <v>197</v>
      </c>
      <c r="C101" s="7">
        <v>1.0</v>
      </c>
      <c r="D101" s="7">
        <v>1.0</v>
      </c>
      <c r="E101" s="8"/>
      <c r="F101" s="7"/>
      <c r="G101" s="7"/>
      <c r="H101" s="7" t="s">
        <v>201</v>
      </c>
      <c r="I101" s="7">
        <v>5000.0</v>
      </c>
      <c r="J101" s="7">
        <v>3.57</v>
      </c>
      <c r="K101" s="7" t="s">
        <v>94</v>
      </c>
      <c r="L101" s="12"/>
      <c r="M101" s="12">
        <f t="shared" si="10"/>
        <v>0.000714</v>
      </c>
      <c r="N101" s="10"/>
      <c r="O101" s="10"/>
      <c r="P101" s="10"/>
      <c r="Q101" s="10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>
      <c r="A102" s="6" t="s">
        <v>242</v>
      </c>
      <c r="B102" s="7" t="s">
        <v>197</v>
      </c>
      <c r="C102" s="7">
        <v>1.0</v>
      </c>
      <c r="D102" s="7">
        <v>1.0</v>
      </c>
      <c r="E102" s="8"/>
      <c r="F102" s="7"/>
      <c r="G102" s="7"/>
      <c r="H102" s="7" t="s">
        <v>201</v>
      </c>
      <c r="I102" s="7">
        <v>5000.0</v>
      </c>
      <c r="J102" s="7">
        <v>3.57</v>
      </c>
      <c r="K102" s="7" t="s">
        <v>94</v>
      </c>
      <c r="L102" s="12"/>
      <c r="M102" s="12">
        <f t="shared" si="10"/>
        <v>0.000714</v>
      </c>
      <c r="N102" s="10"/>
      <c r="O102" s="10"/>
      <c r="P102" s="10"/>
      <c r="Q102" s="10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>
      <c r="A103" s="6" t="s">
        <v>243</v>
      </c>
      <c r="B103" s="7" t="s">
        <v>197</v>
      </c>
      <c r="C103" s="7">
        <v>1.0</v>
      </c>
      <c r="D103" s="7">
        <v>1.0</v>
      </c>
      <c r="E103" s="8"/>
      <c r="F103" s="7"/>
      <c r="G103" s="7"/>
      <c r="H103" s="7" t="s">
        <v>201</v>
      </c>
      <c r="I103" s="7">
        <v>5000.0</v>
      </c>
      <c r="J103" s="7">
        <v>3.57</v>
      </c>
      <c r="K103" s="7" t="s">
        <v>94</v>
      </c>
      <c r="L103" s="12"/>
      <c r="M103" s="12">
        <f t="shared" si="10"/>
        <v>0.000714</v>
      </c>
      <c r="N103" s="10"/>
      <c r="O103" s="10"/>
      <c r="P103" s="10"/>
      <c r="Q103" s="10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>
      <c r="A104" s="6" t="s">
        <v>244</v>
      </c>
      <c r="B104" s="7" t="s">
        <v>197</v>
      </c>
      <c r="C104" s="7">
        <v>1.0</v>
      </c>
      <c r="D104" s="7">
        <v>1.0</v>
      </c>
      <c r="E104" s="8"/>
      <c r="F104" s="7"/>
      <c r="G104" s="7"/>
      <c r="H104" s="7" t="s">
        <v>201</v>
      </c>
      <c r="I104" s="7">
        <v>5000.0</v>
      </c>
      <c r="J104" s="7">
        <v>3.57</v>
      </c>
      <c r="K104" s="7" t="s">
        <v>94</v>
      </c>
      <c r="L104" s="12"/>
      <c r="M104" s="12">
        <f t="shared" si="10"/>
        <v>0.000714</v>
      </c>
      <c r="N104" s="10"/>
      <c r="O104" s="10"/>
      <c r="P104" s="10"/>
      <c r="Q104" s="10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>
      <c r="A105" s="6" t="s">
        <v>245</v>
      </c>
      <c r="B105" s="7" t="s">
        <v>197</v>
      </c>
      <c r="C105" s="7">
        <v>1.0</v>
      </c>
      <c r="D105" s="7">
        <v>1.0</v>
      </c>
      <c r="E105" s="8"/>
      <c r="F105" s="7"/>
      <c r="G105" s="7"/>
      <c r="H105" s="7" t="s">
        <v>201</v>
      </c>
      <c r="I105" s="7">
        <v>5000.0</v>
      </c>
      <c r="J105" s="7">
        <v>3.57</v>
      </c>
      <c r="K105" s="7" t="s">
        <v>94</v>
      </c>
      <c r="L105" s="12"/>
      <c r="M105" s="12">
        <f t="shared" si="10"/>
        <v>0.000714</v>
      </c>
      <c r="N105" s="16">
        <v>0.47</v>
      </c>
      <c r="O105" s="10"/>
      <c r="P105" s="10"/>
      <c r="Q105" s="10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>
      <c r="A106" s="6" t="s">
        <v>246</v>
      </c>
      <c r="B106" s="7" t="s">
        <v>197</v>
      </c>
      <c r="C106" s="7">
        <v>1.0</v>
      </c>
      <c r="D106" s="7">
        <v>1.0</v>
      </c>
      <c r="E106" s="8"/>
      <c r="F106" s="7"/>
      <c r="G106" s="7"/>
      <c r="H106" s="7" t="s">
        <v>201</v>
      </c>
      <c r="I106" s="7">
        <v>5000.0</v>
      </c>
      <c r="J106" s="7">
        <v>3.57</v>
      </c>
      <c r="K106" s="7" t="s">
        <v>94</v>
      </c>
      <c r="L106" s="12"/>
      <c r="M106" s="12">
        <f t="shared" si="10"/>
        <v>0.000714</v>
      </c>
      <c r="N106" s="10"/>
      <c r="O106" s="10"/>
      <c r="P106" s="10"/>
      <c r="Q106" s="10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>
      <c r="A107" s="6" t="s">
        <v>247</v>
      </c>
      <c r="B107" s="7" t="s">
        <v>197</v>
      </c>
      <c r="C107" s="7">
        <v>1.0</v>
      </c>
      <c r="D107" s="7">
        <v>1.0</v>
      </c>
      <c r="E107" s="8"/>
      <c r="F107" s="7"/>
      <c r="G107" s="7"/>
      <c r="H107" s="7" t="s">
        <v>201</v>
      </c>
      <c r="I107" s="7">
        <v>5000.0</v>
      </c>
      <c r="J107" s="7">
        <v>3.57</v>
      </c>
      <c r="K107" s="7" t="s">
        <v>94</v>
      </c>
      <c r="L107" s="12"/>
      <c r="M107" s="12">
        <f t="shared" si="10"/>
        <v>0.000714</v>
      </c>
      <c r="N107" s="10"/>
      <c r="O107" s="10"/>
      <c r="P107" s="10"/>
      <c r="Q107" s="10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>
      <c r="A108" s="6" t="s">
        <v>248</v>
      </c>
      <c r="B108" s="7" t="s">
        <v>197</v>
      </c>
      <c r="C108" s="7">
        <v>1.0</v>
      </c>
      <c r="D108" s="7">
        <v>1.0</v>
      </c>
      <c r="E108" s="8"/>
      <c r="F108" s="7"/>
      <c r="G108" s="7"/>
      <c r="H108" s="7" t="s">
        <v>201</v>
      </c>
      <c r="I108" s="7">
        <v>5000.0</v>
      </c>
      <c r="J108" s="7">
        <v>3.57</v>
      </c>
      <c r="K108" s="7" t="s">
        <v>94</v>
      </c>
      <c r="L108" s="12"/>
      <c r="M108" s="12">
        <f t="shared" si="10"/>
        <v>0.000714</v>
      </c>
      <c r="N108" s="10"/>
      <c r="O108" s="10"/>
      <c r="P108" s="10"/>
      <c r="Q108" s="10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>
      <c r="A109" s="6" t="s">
        <v>249</v>
      </c>
      <c r="B109" s="7" t="s">
        <v>250</v>
      </c>
      <c r="C109" s="7">
        <v>45.0</v>
      </c>
      <c r="D109" s="7">
        <v>15.0</v>
      </c>
      <c r="E109" s="8"/>
      <c r="F109" s="7"/>
      <c r="G109" s="7"/>
      <c r="H109" s="7" t="s">
        <v>178</v>
      </c>
      <c r="I109" s="7">
        <v>1000.0</v>
      </c>
      <c r="J109" s="7" t="s">
        <v>251</v>
      </c>
      <c r="K109" s="7" t="s">
        <v>26</v>
      </c>
      <c r="L109" s="9" t="s">
        <v>252</v>
      </c>
      <c r="M109" s="9">
        <v>0.25171</v>
      </c>
      <c r="N109" s="10"/>
      <c r="O109" s="16" t="s">
        <v>253</v>
      </c>
      <c r="P109" s="10"/>
      <c r="Q109" s="10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>
      <c r="A110" s="6" t="s">
        <v>254</v>
      </c>
      <c r="B110" s="7" t="s">
        <v>250</v>
      </c>
      <c r="C110" s="7">
        <v>8.0</v>
      </c>
      <c r="D110" s="7">
        <v>5.0</v>
      </c>
      <c r="E110" s="8"/>
      <c r="F110" s="7"/>
      <c r="G110" s="7"/>
      <c r="H110" s="7" t="s">
        <v>178</v>
      </c>
      <c r="I110" s="7">
        <v>1000.0</v>
      </c>
      <c r="J110" s="7" t="s">
        <v>251</v>
      </c>
      <c r="K110" s="7" t="s">
        <v>26</v>
      </c>
      <c r="L110" s="9" t="s">
        <v>255</v>
      </c>
      <c r="M110" s="9">
        <v>0.25171</v>
      </c>
      <c r="N110" s="10"/>
      <c r="O110" s="16" t="s">
        <v>253</v>
      </c>
      <c r="P110" s="10"/>
      <c r="Q110" s="10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>
      <c r="A111" s="6" t="s">
        <v>256</v>
      </c>
      <c r="B111" s="7" t="s">
        <v>250</v>
      </c>
      <c r="C111" s="7"/>
      <c r="D111" s="7"/>
      <c r="E111" s="8"/>
      <c r="F111" s="7"/>
      <c r="G111" s="7"/>
      <c r="H111" s="7" t="s">
        <v>178</v>
      </c>
      <c r="I111" s="7">
        <v>250.0</v>
      </c>
      <c r="J111" s="7">
        <v>62.93</v>
      </c>
      <c r="K111" s="7" t="s">
        <v>94</v>
      </c>
      <c r="L111" s="9"/>
      <c r="M111" s="9">
        <v>0.25171</v>
      </c>
      <c r="N111" s="10"/>
      <c r="O111" s="16"/>
      <c r="P111" s="10"/>
      <c r="Q111" s="10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>
      <c r="A112" s="6" t="s">
        <v>257</v>
      </c>
      <c r="B112" s="7" t="s">
        <v>250</v>
      </c>
      <c r="C112" s="7"/>
      <c r="D112" s="7"/>
      <c r="E112" s="8"/>
      <c r="F112" s="7"/>
      <c r="G112" s="7"/>
      <c r="H112" s="7" t="s">
        <v>178</v>
      </c>
      <c r="I112" s="7">
        <v>250.0</v>
      </c>
      <c r="J112" s="7">
        <v>62.93</v>
      </c>
      <c r="K112" s="7" t="s">
        <v>94</v>
      </c>
      <c r="L112" s="9"/>
      <c r="M112" s="9">
        <v>0.25171</v>
      </c>
      <c r="N112" s="10"/>
      <c r="O112" s="16"/>
      <c r="P112" s="10"/>
      <c r="Q112" s="10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>
      <c r="A113" s="6" t="s">
        <v>258</v>
      </c>
      <c r="B113" s="7" t="s">
        <v>250</v>
      </c>
      <c r="C113" s="7">
        <v>6.0</v>
      </c>
      <c r="D113" s="7">
        <v>6.0</v>
      </c>
      <c r="E113" s="7" t="s">
        <v>259</v>
      </c>
      <c r="F113" s="7">
        <v>690213.0</v>
      </c>
      <c r="G113" s="7"/>
      <c r="H113" s="7" t="s">
        <v>260</v>
      </c>
      <c r="I113" s="7">
        <v>1000.0</v>
      </c>
      <c r="J113" s="7">
        <v>70.0</v>
      </c>
      <c r="K113" s="7" t="s">
        <v>26</v>
      </c>
      <c r="L113" s="12"/>
      <c r="M113" s="12">
        <f>J113/I113</f>
        <v>0.07</v>
      </c>
      <c r="N113" s="16">
        <v>1.0</v>
      </c>
      <c r="O113" s="10"/>
      <c r="P113" s="10"/>
      <c r="Q113" s="10"/>
      <c r="R113" s="13" t="s">
        <v>261</v>
      </c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>
      <c r="A114" s="6" t="s">
        <v>262</v>
      </c>
      <c r="B114" s="7" t="s">
        <v>250</v>
      </c>
      <c r="C114" s="7">
        <v>1.0</v>
      </c>
      <c r="D114" s="7">
        <v>1.0</v>
      </c>
      <c r="E114" s="8"/>
      <c r="F114" s="8"/>
      <c r="G114" s="8"/>
      <c r="H114" s="8"/>
      <c r="I114" s="8"/>
      <c r="J114" s="8"/>
      <c r="K114" s="8"/>
      <c r="L114" s="12"/>
      <c r="M114" s="12"/>
      <c r="N114" s="10"/>
      <c r="O114" s="10"/>
      <c r="P114" s="10"/>
      <c r="Q114" s="10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>
      <c r="A115" s="6" t="s">
        <v>263</v>
      </c>
      <c r="B115" s="7" t="s">
        <v>264</v>
      </c>
      <c r="C115" s="8"/>
      <c r="D115" s="8"/>
      <c r="E115" s="18" t="s">
        <v>265</v>
      </c>
      <c r="F115" s="7"/>
      <c r="G115" s="7"/>
      <c r="H115" s="7" t="s">
        <v>266</v>
      </c>
      <c r="I115" s="7">
        <v>480.0</v>
      </c>
      <c r="J115" s="7" t="s">
        <v>267</v>
      </c>
      <c r="K115" s="7" t="s">
        <v>26</v>
      </c>
      <c r="L115" s="9" t="s">
        <v>265</v>
      </c>
      <c r="M115" s="9" t="s">
        <v>268</v>
      </c>
      <c r="N115" s="10"/>
      <c r="O115" s="10"/>
      <c r="P115" s="10"/>
      <c r="Q115" s="10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>
      <c r="A116" s="6" t="s">
        <v>269</v>
      </c>
      <c r="B116" s="7" t="s">
        <v>270</v>
      </c>
      <c r="C116" s="7">
        <v>7.0</v>
      </c>
      <c r="D116" s="7">
        <v>3.0</v>
      </c>
      <c r="E116" s="7" t="s">
        <v>271</v>
      </c>
      <c r="F116" s="7">
        <v>700404.0</v>
      </c>
      <c r="G116" s="7"/>
      <c r="H116" s="7" t="s">
        <v>93</v>
      </c>
      <c r="I116" s="7">
        <v>1000.0</v>
      </c>
      <c r="J116" s="7">
        <v>83.2</v>
      </c>
      <c r="K116" s="7" t="s">
        <v>94</v>
      </c>
      <c r="L116" s="9" t="s">
        <v>272</v>
      </c>
      <c r="M116" s="12">
        <f t="shared" ref="M116:M132" si="11">J116/I116</f>
        <v>0.0832</v>
      </c>
      <c r="N116" s="16">
        <v>5.0</v>
      </c>
      <c r="O116" s="10"/>
      <c r="P116" s="10"/>
      <c r="Q116" s="10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>
      <c r="A117" s="6" t="s">
        <v>273</v>
      </c>
      <c r="B117" s="7" t="s">
        <v>270</v>
      </c>
      <c r="C117" s="7">
        <v>7.0</v>
      </c>
      <c r="D117" s="7">
        <v>3.0</v>
      </c>
      <c r="E117" s="7" t="s">
        <v>274</v>
      </c>
      <c r="F117" s="7">
        <v>700404.0</v>
      </c>
      <c r="G117" s="7"/>
      <c r="H117" s="7" t="s">
        <v>93</v>
      </c>
      <c r="I117" s="7">
        <v>1000.0</v>
      </c>
      <c r="J117" s="7">
        <v>83.2</v>
      </c>
      <c r="K117" s="7" t="s">
        <v>94</v>
      </c>
      <c r="L117" s="9" t="s">
        <v>275</v>
      </c>
      <c r="M117" s="12">
        <f t="shared" si="11"/>
        <v>0.0832</v>
      </c>
      <c r="N117" s="16"/>
      <c r="O117" s="10"/>
      <c r="P117" s="10"/>
      <c r="Q117" s="10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>
      <c r="A118" s="6" t="s">
        <v>276</v>
      </c>
      <c r="B118" s="7" t="s">
        <v>270</v>
      </c>
      <c r="C118" s="7">
        <v>2.0</v>
      </c>
      <c r="D118" s="7">
        <v>1.0</v>
      </c>
      <c r="E118" s="7" t="s">
        <v>277</v>
      </c>
      <c r="F118" s="8"/>
      <c r="G118" s="8"/>
      <c r="H118" s="8"/>
      <c r="I118" s="7">
        <v>1000.0</v>
      </c>
      <c r="J118" s="7">
        <v>18.83</v>
      </c>
      <c r="K118" s="7" t="s">
        <v>94</v>
      </c>
      <c r="L118" s="12"/>
      <c r="M118" s="12">
        <f t="shared" si="11"/>
        <v>0.01883</v>
      </c>
      <c r="N118" s="10"/>
      <c r="O118" s="10"/>
      <c r="P118" s="10"/>
      <c r="Q118" s="10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>
      <c r="A119" s="6" t="s">
        <v>278</v>
      </c>
      <c r="B119" s="7" t="s">
        <v>270</v>
      </c>
      <c r="C119" s="7">
        <v>2.0</v>
      </c>
      <c r="D119" s="7">
        <v>1.0</v>
      </c>
      <c r="E119" s="7" t="s">
        <v>279</v>
      </c>
      <c r="F119" s="8"/>
      <c r="G119" s="8"/>
      <c r="H119" s="8"/>
      <c r="I119" s="7">
        <v>1000.0</v>
      </c>
      <c r="J119" s="7">
        <v>18.83</v>
      </c>
      <c r="K119" s="7" t="s">
        <v>94</v>
      </c>
      <c r="L119" s="12"/>
      <c r="M119" s="12">
        <f t="shared" si="11"/>
        <v>0.01883</v>
      </c>
      <c r="N119" s="10"/>
      <c r="O119" s="10"/>
      <c r="P119" s="10"/>
      <c r="Q119" s="10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>
      <c r="A120" s="6" t="s">
        <v>280</v>
      </c>
      <c r="B120" s="7" t="s">
        <v>281</v>
      </c>
      <c r="C120" s="7">
        <v>1.0</v>
      </c>
      <c r="D120" s="7">
        <v>1.0</v>
      </c>
      <c r="E120" s="8"/>
      <c r="F120" s="8"/>
      <c r="G120" s="8"/>
      <c r="H120" s="7" t="s">
        <v>44</v>
      </c>
      <c r="I120" s="7">
        <v>100.0</v>
      </c>
      <c r="J120" s="7">
        <v>9.31</v>
      </c>
      <c r="K120" s="7" t="s">
        <v>94</v>
      </c>
      <c r="L120" s="9" t="s">
        <v>282</v>
      </c>
      <c r="M120" s="12">
        <f t="shared" si="11"/>
        <v>0.0931</v>
      </c>
      <c r="N120" s="10"/>
      <c r="O120" s="10"/>
      <c r="P120" s="10"/>
      <c r="Q120" s="10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>
      <c r="A121" s="6" t="s">
        <v>283</v>
      </c>
      <c r="B121" s="7" t="s">
        <v>281</v>
      </c>
      <c r="C121" s="7">
        <v>1.0</v>
      </c>
      <c r="D121" s="7">
        <v>1.0</v>
      </c>
      <c r="E121" s="8"/>
      <c r="F121" s="8"/>
      <c r="G121" s="8"/>
      <c r="H121" s="7" t="s">
        <v>44</v>
      </c>
      <c r="I121" s="7">
        <v>100.0</v>
      </c>
      <c r="J121" s="7">
        <v>9.31</v>
      </c>
      <c r="K121" s="7" t="s">
        <v>94</v>
      </c>
      <c r="L121" s="9" t="s">
        <v>284</v>
      </c>
      <c r="M121" s="12">
        <f t="shared" si="11"/>
        <v>0.0931</v>
      </c>
      <c r="N121" s="10"/>
      <c r="O121" s="10"/>
      <c r="P121" s="10"/>
      <c r="Q121" s="10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>
      <c r="A122" s="6" t="s">
        <v>285</v>
      </c>
      <c r="B122" s="7" t="s">
        <v>281</v>
      </c>
      <c r="C122" s="7">
        <v>1.0</v>
      </c>
      <c r="D122" s="7">
        <v>1.0</v>
      </c>
      <c r="E122" s="8"/>
      <c r="F122" s="8"/>
      <c r="G122" s="8"/>
      <c r="H122" s="7" t="s">
        <v>44</v>
      </c>
      <c r="I122" s="7">
        <v>100.0</v>
      </c>
      <c r="J122" s="7">
        <v>9.31</v>
      </c>
      <c r="K122" s="7" t="s">
        <v>94</v>
      </c>
      <c r="L122" s="9" t="s">
        <v>286</v>
      </c>
      <c r="M122" s="12">
        <f t="shared" si="11"/>
        <v>0.0931</v>
      </c>
      <c r="N122" s="10"/>
      <c r="O122" s="10"/>
      <c r="P122" s="10"/>
      <c r="Q122" s="10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>
      <c r="A123" s="6" t="s">
        <v>287</v>
      </c>
      <c r="B123" s="7" t="s">
        <v>281</v>
      </c>
      <c r="C123" s="7">
        <v>1.0</v>
      </c>
      <c r="D123" s="7">
        <v>1.0</v>
      </c>
      <c r="E123" s="8"/>
      <c r="F123" s="8"/>
      <c r="G123" s="8"/>
      <c r="H123" s="7" t="s">
        <v>44</v>
      </c>
      <c r="I123" s="7">
        <v>100.0</v>
      </c>
      <c r="J123" s="7">
        <v>9.31</v>
      </c>
      <c r="K123" s="7" t="s">
        <v>94</v>
      </c>
      <c r="L123" s="9" t="s">
        <v>288</v>
      </c>
      <c r="M123" s="12">
        <f t="shared" si="11"/>
        <v>0.0931</v>
      </c>
      <c r="N123" s="10"/>
      <c r="O123" s="10"/>
      <c r="P123" s="10"/>
      <c r="Q123" s="10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>
      <c r="A124" s="6" t="s">
        <v>289</v>
      </c>
      <c r="B124" s="7" t="s">
        <v>281</v>
      </c>
      <c r="C124" s="7">
        <v>1.0</v>
      </c>
      <c r="D124" s="7">
        <v>1.0</v>
      </c>
      <c r="E124" s="8"/>
      <c r="F124" s="8"/>
      <c r="G124" s="8"/>
      <c r="H124" s="7" t="s">
        <v>44</v>
      </c>
      <c r="I124" s="7">
        <v>100.0</v>
      </c>
      <c r="J124" s="7">
        <v>9.31</v>
      </c>
      <c r="K124" s="7" t="s">
        <v>94</v>
      </c>
      <c r="L124" s="9" t="s">
        <v>290</v>
      </c>
      <c r="M124" s="12">
        <f t="shared" si="11"/>
        <v>0.0931</v>
      </c>
      <c r="N124" s="10"/>
      <c r="O124" s="10"/>
      <c r="P124" s="10"/>
      <c r="Q124" s="10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>
      <c r="A125" s="6" t="s">
        <v>291</v>
      </c>
      <c r="B125" s="7" t="s">
        <v>281</v>
      </c>
      <c r="C125" s="7">
        <v>1.0</v>
      </c>
      <c r="D125" s="7">
        <v>1.0</v>
      </c>
      <c r="E125" s="8"/>
      <c r="F125" s="8"/>
      <c r="G125" s="8"/>
      <c r="H125" s="7" t="s">
        <v>44</v>
      </c>
      <c r="I125" s="7">
        <v>100.0</v>
      </c>
      <c r="J125" s="7">
        <v>9.31</v>
      </c>
      <c r="K125" s="7" t="s">
        <v>94</v>
      </c>
      <c r="L125" s="9" t="s">
        <v>292</v>
      </c>
      <c r="M125" s="12">
        <f t="shared" si="11"/>
        <v>0.0931</v>
      </c>
      <c r="N125" s="10"/>
      <c r="O125" s="10"/>
      <c r="P125" s="10"/>
      <c r="Q125" s="10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>
      <c r="A126" s="6" t="s">
        <v>293</v>
      </c>
      <c r="B126" s="7" t="s">
        <v>281</v>
      </c>
      <c r="C126" s="7">
        <v>1.0</v>
      </c>
      <c r="D126" s="7">
        <v>1.0</v>
      </c>
      <c r="E126" s="8"/>
      <c r="F126" s="8"/>
      <c r="G126" s="8"/>
      <c r="H126" s="7" t="s">
        <v>44</v>
      </c>
      <c r="I126" s="7">
        <v>100.0</v>
      </c>
      <c r="J126" s="7">
        <v>9.31</v>
      </c>
      <c r="K126" s="7" t="s">
        <v>94</v>
      </c>
      <c r="L126" s="9" t="s">
        <v>294</v>
      </c>
      <c r="M126" s="12">
        <f t="shared" si="11"/>
        <v>0.0931</v>
      </c>
      <c r="N126" s="10"/>
      <c r="O126" s="10"/>
      <c r="P126" s="10"/>
      <c r="Q126" s="10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>
      <c r="A127" s="6" t="s">
        <v>295</v>
      </c>
      <c r="B127" s="7" t="s">
        <v>281</v>
      </c>
      <c r="C127" s="7">
        <v>1.0</v>
      </c>
      <c r="D127" s="7">
        <v>1.0</v>
      </c>
      <c r="E127" s="8"/>
      <c r="F127" s="8"/>
      <c r="G127" s="8"/>
      <c r="H127" s="7" t="s">
        <v>44</v>
      </c>
      <c r="I127" s="7">
        <v>100.0</v>
      </c>
      <c r="J127" s="7">
        <v>9.31</v>
      </c>
      <c r="K127" s="7" t="s">
        <v>94</v>
      </c>
      <c r="L127" s="9" t="s">
        <v>296</v>
      </c>
      <c r="M127" s="12">
        <f t="shared" si="11"/>
        <v>0.0931</v>
      </c>
      <c r="N127" s="10"/>
      <c r="O127" s="10"/>
      <c r="P127" s="10"/>
      <c r="Q127" s="10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>
      <c r="A128" s="6" t="s">
        <v>297</v>
      </c>
      <c r="B128" s="7" t="s">
        <v>281</v>
      </c>
      <c r="C128" s="7">
        <v>1.0</v>
      </c>
      <c r="D128" s="7">
        <v>1.0</v>
      </c>
      <c r="E128" s="8"/>
      <c r="F128" s="8"/>
      <c r="G128" s="8"/>
      <c r="H128" s="7" t="s">
        <v>44</v>
      </c>
      <c r="I128" s="7">
        <v>100.0</v>
      </c>
      <c r="J128" s="7">
        <v>9.31</v>
      </c>
      <c r="K128" s="7" t="s">
        <v>94</v>
      </c>
      <c r="L128" s="9" t="s">
        <v>298</v>
      </c>
      <c r="M128" s="12">
        <f t="shared" si="11"/>
        <v>0.0931</v>
      </c>
      <c r="N128" s="10"/>
      <c r="O128" s="10"/>
      <c r="P128" s="10"/>
      <c r="Q128" s="10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>
      <c r="A129" s="6" t="s">
        <v>299</v>
      </c>
      <c r="B129" s="7" t="s">
        <v>281</v>
      </c>
      <c r="C129" s="7">
        <v>1.0</v>
      </c>
      <c r="D129" s="7">
        <v>1.0</v>
      </c>
      <c r="E129" s="8"/>
      <c r="F129" s="8"/>
      <c r="G129" s="8"/>
      <c r="H129" s="7" t="s">
        <v>44</v>
      </c>
      <c r="I129" s="7">
        <v>100.0</v>
      </c>
      <c r="J129" s="7">
        <v>9.31</v>
      </c>
      <c r="K129" s="7" t="s">
        <v>94</v>
      </c>
      <c r="L129" s="9" t="s">
        <v>300</v>
      </c>
      <c r="M129" s="12">
        <f t="shared" si="11"/>
        <v>0.0931</v>
      </c>
      <c r="N129" s="10"/>
      <c r="O129" s="10"/>
      <c r="P129" s="10"/>
      <c r="Q129" s="10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>
      <c r="A130" s="6" t="s">
        <v>301</v>
      </c>
      <c r="B130" s="7" t="s">
        <v>281</v>
      </c>
      <c r="C130" s="7">
        <v>1.0</v>
      </c>
      <c r="D130" s="7">
        <v>1.0</v>
      </c>
      <c r="E130" s="8"/>
      <c r="F130" s="8"/>
      <c r="G130" s="8"/>
      <c r="H130" s="7" t="s">
        <v>44</v>
      </c>
      <c r="I130" s="7">
        <v>100.0</v>
      </c>
      <c r="J130" s="7">
        <v>9.31</v>
      </c>
      <c r="K130" s="7" t="s">
        <v>94</v>
      </c>
      <c r="L130" s="9" t="s">
        <v>302</v>
      </c>
      <c r="M130" s="12">
        <f t="shared" si="11"/>
        <v>0.0931</v>
      </c>
      <c r="N130" s="10"/>
      <c r="O130" s="10"/>
      <c r="P130" s="10"/>
      <c r="Q130" s="10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>
      <c r="A131" s="6" t="s">
        <v>303</v>
      </c>
      <c r="B131" s="7" t="s">
        <v>281</v>
      </c>
      <c r="C131" s="7">
        <v>1.0</v>
      </c>
      <c r="D131" s="7">
        <v>1.0</v>
      </c>
      <c r="E131" s="8"/>
      <c r="F131" s="8"/>
      <c r="G131" s="8"/>
      <c r="H131" s="7" t="s">
        <v>44</v>
      </c>
      <c r="I131" s="7">
        <v>100.0</v>
      </c>
      <c r="J131" s="7">
        <v>9.31</v>
      </c>
      <c r="K131" s="7" t="s">
        <v>94</v>
      </c>
      <c r="L131" s="9" t="s">
        <v>304</v>
      </c>
      <c r="M131" s="12">
        <f t="shared" si="11"/>
        <v>0.0931</v>
      </c>
      <c r="N131" s="10"/>
      <c r="O131" s="10"/>
      <c r="P131" s="10"/>
      <c r="Q131" s="10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>
      <c r="A132" s="6" t="s">
        <v>305</v>
      </c>
      <c r="B132" s="7" t="s">
        <v>281</v>
      </c>
      <c r="C132" s="7">
        <v>1.0</v>
      </c>
      <c r="D132" s="7">
        <v>1.0</v>
      </c>
      <c r="E132" s="8"/>
      <c r="F132" s="8"/>
      <c r="G132" s="8"/>
      <c r="H132" s="7" t="s">
        <v>44</v>
      </c>
      <c r="I132" s="7">
        <v>100.0</v>
      </c>
      <c r="J132" s="7">
        <v>9.31</v>
      </c>
      <c r="K132" s="7" t="s">
        <v>94</v>
      </c>
      <c r="L132" s="9" t="s">
        <v>306</v>
      </c>
      <c r="M132" s="12">
        <f t="shared" si="11"/>
        <v>0.0931</v>
      </c>
      <c r="N132" s="10"/>
      <c r="O132" s="10"/>
      <c r="P132" s="10"/>
      <c r="Q132" s="10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>
      <c r="A133" s="6" t="s">
        <v>307</v>
      </c>
      <c r="B133" s="7" t="s">
        <v>308</v>
      </c>
      <c r="C133" s="7">
        <v>9.0</v>
      </c>
      <c r="D133" s="7">
        <v>6.0</v>
      </c>
      <c r="E133" s="7" t="s">
        <v>309</v>
      </c>
      <c r="F133" s="7"/>
      <c r="G133" s="7"/>
      <c r="H133" s="7" t="s">
        <v>178</v>
      </c>
      <c r="I133" s="7">
        <v>100.0</v>
      </c>
      <c r="J133" s="7" t="s">
        <v>310</v>
      </c>
      <c r="K133" s="7" t="s">
        <v>26</v>
      </c>
      <c r="L133" s="12"/>
      <c r="M133" s="9" t="s">
        <v>311</v>
      </c>
      <c r="N133" s="10"/>
      <c r="O133" s="10"/>
      <c r="P133" s="10"/>
      <c r="Q133" s="10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>
      <c r="A134" s="6" t="s">
        <v>312</v>
      </c>
      <c r="B134" s="7" t="s">
        <v>308</v>
      </c>
      <c r="C134" s="7">
        <v>9.0</v>
      </c>
      <c r="D134" s="7">
        <v>6.0</v>
      </c>
      <c r="E134" s="7" t="s">
        <v>313</v>
      </c>
      <c r="F134" s="7"/>
      <c r="G134" s="7"/>
      <c r="H134" s="7" t="s">
        <v>178</v>
      </c>
      <c r="I134" s="7">
        <v>100.0</v>
      </c>
      <c r="J134" s="7" t="s">
        <v>314</v>
      </c>
      <c r="K134" s="7" t="s">
        <v>26</v>
      </c>
      <c r="L134" s="12"/>
      <c r="M134" s="9" t="s">
        <v>315</v>
      </c>
      <c r="N134" s="10"/>
      <c r="O134" s="10"/>
      <c r="P134" s="10"/>
      <c r="Q134" s="10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>
      <c r="A135" s="6" t="s">
        <v>316</v>
      </c>
      <c r="B135" s="7" t="s">
        <v>308</v>
      </c>
      <c r="C135" s="7">
        <v>2.0</v>
      </c>
      <c r="D135" s="7">
        <v>1.0</v>
      </c>
      <c r="E135" s="7" t="s">
        <v>317</v>
      </c>
      <c r="F135" s="7"/>
      <c r="G135" s="7"/>
      <c r="H135" s="7" t="s">
        <v>178</v>
      </c>
      <c r="I135" s="7">
        <v>100.0</v>
      </c>
      <c r="J135" s="7" t="s">
        <v>318</v>
      </c>
      <c r="K135" s="7" t="s">
        <v>26</v>
      </c>
      <c r="L135" s="12"/>
      <c r="M135" s="9" t="s">
        <v>319</v>
      </c>
      <c r="N135" s="10"/>
      <c r="O135" s="10"/>
      <c r="P135" s="10"/>
      <c r="Q135" s="10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>
      <c r="A136" s="6" t="s">
        <v>320</v>
      </c>
      <c r="B136" s="7" t="s">
        <v>308</v>
      </c>
      <c r="C136" s="7">
        <v>2.0</v>
      </c>
      <c r="D136" s="7">
        <v>1.0</v>
      </c>
      <c r="E136" s="7" t="s">
        <v>321</v>
      </c>
      <c r="F136" s="7">
        <v>679610.0</v>
      </c>
      <c r="G136" s="7"/>
      <c r="H136" s="7" t="s">
        <v>178</v>
      </c>
      <c r="I136" s="7">
        <v>200.0</v>
      </c>
      <c r="J136" s="7">
        <v>67.87</v>
      </c>
      <c r="K136" s="7" t="s">
        <v>26</v>
      </c>
      <c r="L136" s="9" t="s">
        <v>322</v>
      </c>
      <c r="M136" s="12">
        <f t="shared" ref="M136:M139" si="12">J136/I136</f>
        <v>0.33935</v>
      </c>
      <c r="N136" s="10"/>
      <c r="O136" s="10"/>
      <c r="P136" s="10"/>
      <c r="Q136" s="10"/>
      <c r="R136" s="13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>
      <c r="A137" s="6" t="s">
        <v>323</v>
      </c>
      <c r="B137" s="7" t="s">
        <v>308</v>
      </c>
      <c r="C137" s="7"/>
      <c r="D137" s="7"/>
      <c r="E137" s="7"/>
      <c r="F137" s="7">
        <v>705471.0</v>
      </c>
      <c r="G137" s="7"/>
      <c r="H137" s="7" t="s">
        <v>178</v>
      </c>
      <c r="I137" s="7">
        <v>200.0</v>
      </c>
      <c r="J137" s="7">
        <v>32.75</v>
      </c>
      <c r="K137" s="7" t="s">
        <v>26</v>
      </c>
      <c r="L137" s="9" t="s">
        <v>324</v>
      </c>
      <c r="M137" s="12">
        <f t="shared" si="12"/>
        <v>0.16375</v>
      </c>
      <c r="N137" s="10"/>
      <c r="O137" s="10"/>
      <c r="P137" s="10"/>
      <c r="Q137" s="10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>
      <c r="A138" s="6" t="s">
        <v>325</v>
      </c>
      <c r="B138" s="7" t="s">
        <v>308</v>
      </c>
      <c r="C138" s="7">
        <v>1.0</v>
      </c>
      <c r="D138" s="7">
        <v>1.0</v>
      </c>
      <c r="E138" s="7"/>
      <c r="F138" s="7">
        <v>704954.0</v>
      </c>
      <c r="G138" s="7"/>
      <c r="H138" s="7" t="s">
        <v>178</v>
      </c>
      <c r="I138" s="7">
        <v>300.0</v>
      </c>
      <c r="J138" s="7">
        <v>51.14</v>
      </c>
      <c r="K138" s="7" t="s">
        <v>26</v>
      </c>
      <c r="L138" s="9" t="s">
        <v>326</v>
      </c>
      <c r="M138" s="9">
        <f t="shared" si="12"/>
        <v>0.1704666667</v>
      </c>
      <c r="N138" s="10"/>
      <c r="O138" s="10"/>
      <c r="P138" s="10"/>
      <c r="Q138" s="10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>
      <c r="A139" s="6" t="s">
        <v>327</v>
      </c>
      <c r="B139" s="7" t="s">
        <v>308</v>
      </c>
      <c r="C139" s="7">
        <v>1.0</v>
      </c>
      <c r="D139" s="7">
        <v>1.0</v>
      </c>
      <c r="E139" s="7" t="s">
        <v>328</v>
      </c>
      <c r="F139" s="7"/>
      <c r="G139" s="7"/>
      <c r="H139" s="7" t="s">
        <v>93</v>
      </c>
      <c r="I139" s="7">
        <v>100.0</v>
      </c>
      <c r="J139" s="7">
        <v>0.3393</v>
      </c>
      <c r="K139" s="7" t="s">
        <v>26</v>
      </c>
      <c r="L139" s="12"/>
      <c r="M139" s="9">
        <f t="shared" si="12"/>
        <v>0.003393</v>
      </c>
      <c r="N139" s="10"/>
      <c r="O139" s="10"/>
      <c r="P139" s="10"/>
      <c r="Q139" s="10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>
      <c r="A140" s="6" t="s">
        <v>329</v>
      </c>
      <c r="B140" s="7" t="s">
        <v>308</v>
      </c>
      <c r="C140" s="7">
        <v>1.0</v>
      </c>
      <c r="D140" s="7">
        <v>1.0</v>
      </c>
      <c r="E140" s="7" t="s">
        <v>330</v>
      </c>
      <c r="F140" s="7"/>
      <c r="G140" s="7"/>
      <c r="H140" s="7" t="s">
        <v>178</v>
      </c>
      <c r="I140" s="7">
        <v>100.0</v>
      </c>
      <c r="J140" s="8"/>
      <c r="K140" s="7" t="s">
        <v>26</v>
      </c>
      <c r="L140" s="12"/>
      <c r="M140" s="9" t="s">
        <v>331</v>
      </c>
      <c r="N140" s="10"/>
      <c r="O140" s="10"/>
      <c r="P140" s="10"/>
      <c r="Q140" s="10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>
      <c r="A141" s="6" t="s">
        <v>332</v>
      </c>
      <c r="B141" s="7" t="s">
        <v>308</v>
      </c>
      <c r="C141" s="8"/>
      <c r="D141" s="8"/>
      <c r="E141" s="7" t="s">
        <v>333</v>
      </c>
      <c r="F141" s="7"/>
      <c r="G141" s="7"/>
      <c r="H141" s="7" t="s">
        <v>178</v>
      </c>
      <c r="I141" s="7">
        <v>100.0</v>
      </c>
      <c r="J141" s="8"/>
      <c r="K141" s="7" t="s">
        <v>26</v>
      </c>
      <c r="L141" s="12"/>
      <c r="M141" s="9" t="s">
        <v>331</v>
      </c>
      <c r="N141" s="10"/>
      <c r="O141" s="10"/>
      <c r="P141" s="10"/>
      <c r="Q141" s="10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>
      <c r="A142" s="6" t="s">
        <v>334</v>
      </c>
      <c r="B142" s="7" t="s">
        <v>308</v>
      </c>
      <c r="C142" s="8"/>
      <c r="D142" s="8"/>
      <c r="E142" s="7" t="s">
        <v>335</v>
      </c>
      <c r="F142" s="7"/>
      <c r="G142" s="7"/>
      <c r="H142" s="7" t="s">
        <v>178</v>
      </c>
      <c r="I142" s="7">
        <v>100.0</v>
      </c>
      <c r="J142" s="7" t="s">
        <v>336</v>
      </c>
      <c r="K142" s="7" t="s">
        <v>26</v>
      </c>
      <c r="L142" s="12"/>
      <c r="M142" s="9" t="s">
        <v>337</v>
      </c>
      <c r="N142" s="10"/>
      <c r="O142" s="10"/>
      <c r="P142" s="10"/>
      <c r="Q142" s="10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>
      <c r="A143" s="6" t="s">
        <v>338</v>
      </c>
      <c r="B143" s="7" t="s">
        <v>308</v>
      </c>
      <c r="C143" s="8"/>
      <c r="D143" s="8"/>
      <c r="E143" s="7" t="s">
        <v>335</v>
      </c>
      <c r="F143" s="7"/>
      <c r="G143" s="7"/>
      <c r="H143" s="7" t="s">
        <v>178</v>
      </c>
      <c r="I143" s="7">
        <v>100.0</v>
      </c>
      <c r="J143" s="7" t="s">
        <v>339</v>
      </c>
      <c r="K143" s="7" t="s">
        <v>26</v>
      </c>
      <c r="L143" s="12"/>
      <c r="M143" s="9" t="s">
        <v>340</v>
      </c>
      <c r="N143" s="10"/>
      <c r="O143" s="10"/>
      <c r="P143" s="10"/>
      <c r="Q143" s="10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>
      <c r="A144" s="6" t="s">
        <v>341</v>
      </c>
      <c r="B144" s="7" t="s">
        <v>308</v>
      </c>
      <c r="C144" s="8"/>
      <c r="D144" s="8"/>
      <c r="E144" s="7" t="s">
        <v>342</v>
      </c>
      <c r="F144" s="7">
        <v>679611.0</v>
      </c>
      <c r="G144" s="7"/>
      <c r="H144" s="7" t="s">
        <v>178</v>
      </c>
      <c r="I144" s="7">
        <v>100.0</v>
      </c>
      <c r="J144" s="7">
        <v>35.74</v>
      </c>
      <c r="K144" s="7" t="s">
        <v>26</v>
      </c>
      <c r="L144" s="12"/>
      <c r="M144" s="12">
        <f>J144/I144</f>
        <v>0.3574</v>
      </c>
      <c r="N144" s="10"/>
      <c r="O144" s="10"/>
      <c r="P144" s="10"/>
      <c r="Q144" s="10"/>
      <c r="R144" s="13" t="s">
        <v>29</v>
      </c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>
      <c r="A145" s="6" t="s">
        <v>343</v>
      </c>
      <c r="B145" s="7" t="s">
        <v>344</v>
      </c>
      <c r="C145" s="8"/>
      <c r="D145" s="8"/>
      <c r="E145" s="7" t="s">
        <v>345</v>
      </c>
      <c r="F145" s="7">
        <v>707836.0</v>
      </c>
      <c r="G145" s="7"/>
      <c r="H145" s="7" t="s">
        <v>93</v>
      </c>
      <c r="I145" s="7">
        <v>1.0</v>
      </c>
      <c r="J145" s="7">
        <v>0.0806</v>
      </c>
      <c r="K145" s="7" t="s">
        <v>26</v>
      </c>
      <c r="L145" s="12"/>
      <c r="M145" s="12"/>
      <c r="N145" s="10"/>
      <c r="O145" s="10"/>
      <c r="P145" s="10"/>
      <c r="Q145" s="10"/>
      <c r="R145" s="13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>
      <c r="A146" s="6" t="s">
        <v>346</v>
      </c>
      <c r="B146" s="7" t="s">
        <v>250</v>
      </c>
      <c r="C146" s="7">
        <v>1.0</v>
      </c>
      <c r="D146" s="7">
        <v>1.0</v>
      </c>
      <c r="E146" s="7" t="s">
        <v>347</v>
      </c>
      <c r="F146" s="7"/>
      <c r="G146" s="7"/>
      <c r="H146" s="7" t="s">
        <v>44</v>
      </c>
      <c r="I146" s="7">
        <v>1000.0</v>
      </c>
      <c r="J146" s="7">
        <v>251.7</v>
      </c>
      <c r="K146" s="7" t="s">
        <v>26</v>
      </c>
      <c r="L146" s="9" t="s">
        <v>255</v>
      </c>
      <c r="M146" s="12">
        <f t="shared" ref="M146:M149" si="13">J146/I146</f>
        <v>0.2517</v>
      </c>
      <c r="N146" s="10"/>
      <c r="O146" s="10"/>
      <c r="P146" s="10"/>
      <c r="Q146" s="10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>
      <c r="A147" s="13" t="s">
        <v>348</v>
      </c>
      <c r="B147" s="14" t="s">
        <v>145</v>
      </c>
      <c r="C147" s="20"/>
      <c r="D147" s="20"/>
      <c r="E147" s="14" t="s">
        <v>349</v>
      </c>
      <c r="F147" s="14"/>
      <c r="G147" s="14"/>
      <c r="H147" s="14" t="s">
        <v>350</v>
      </c>
      <c r="I147" s="14">
        <v>1000.0</v>
      </c>
      <c r="J147" s="14">
        <v>33.85</v>
      </c>
      <c r="K147" s="21" t="s">
        <v>26</v>
      </c>
      <c r="L147" s="15" t="s">
        <v>351</v>
      </c>
      <c r="M147" s="12">
        <f t="shared" si="13"/>
        <v>0.03385</v>
      </c>
      <c r="N147" s="20"/>
      <c r="O147" s="20"/>
      <c r="P147" s="20"/>
      <c r="Q147" s="20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>
      <c r="A148" s="13" t="s">
        <v>352</v>
      </c>
      <c r="B148" s="14" t="s">
        <v>353</v>
      </c>
      <c r="C148" s="14">
        <v>2.0</v>
      </c>
      <c r="D148" s="20"/>
      <c r="E148" s="14" t="s">
        <v>354</v>
      </c>
      <c r="F148" s="14"/>
      <c r="G148" s="14"/>
      <c r="H148" s="14" t="s">
        <v>355</v>
      </c>
      <c r="I148" s="14">
        <v>1000.0</v>
      </c>
      <c r="J148" s="14">
        <v>95.0</v>
      </c>
      <c r="K148" s="21" t="s">
        <v>26</v>
      </c>
      <c r="L148" s="15" t="s">
        <v>356</v>
      </c>
      <c r="M148" s="12">
        <f t="shared" si="13"/>
        <v>0.095</v>
      </c>
      <c r="N148" s="20"/>
      <c r="O148" s="20"/>
      <c r="P148" s="20"/>
      <c r="Q148" s="20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>
      <c r="A149" s="13" t="s">
        <v>357</v>
      </c>
      <c r="B149" s="14" t="s">
        <v>149</v>
      </c>
      <c r="C149" s="20"/>
      <c r="D149" s="20"/>
      <c r="E149" s="14" t="s">
        <v>358</v>
      </c>
      <c r="F149" s="14"/>
      <c r="G149" s="14"/>
      <c r="H149" s="14" t="s">
        <v>359</v>
      </c>
      <c r="I149" s="14">
        <v>500.0</v>
      </c>
      <c r="J149" s="14">
        <v>700.0</v>
      </c>
      <c r="K149" s="21" t="s">
        <v>94</v>
      </c>
      <c r="L149" s="15" t="s">
        <v>360</v>
      </c>
      <c r="M149" s="9">
        <f t="shared" si="13"/>
        <v>1.4</v>
      </c>
      <c r="N149" s="20"/>
      <c r="O149" s="20"/>
      <c r="P149" s="20"/>
      <c r="Q149" s="20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>
      <c r="A150" s="11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>
      <c r="A151" s="11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>
      <c r="A152" s="11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>
      <c r="A153" s="11"/>
      <c r="B153" s="20"/>
      <c r="C153" s="20"/>
      <c r="D153" s="14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>
      <c r="A154" s="11"/>
      <c r="B154" s="20"/>
      <c r="C154" s="20"/>
      <c r="D154" s="14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>
      <c r="A155" s="11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>
      <c r="A156" s="11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>
      <c r="A157" s="11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>
      <c r="A158" s="11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>
      <c r="A159" s="11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>
      <c r="A160" s="11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>
      <c r="A161" s="11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>
      <c r="A162" s="11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>
      <c r="A163" s="11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>
      <c r="A164" s="11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>
      <c r="A165" s="11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>
      <c r="A166" s="11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>
      <c r="A167" s="11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>
      <c r="A168" s="11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>
      <c r="A169" s="11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>
      <c r="A170" s="11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>
      <c r="A171" s="11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>
      <c r="A172" s="11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>
      <c r="A173" s="11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>
      <c r="A174" s="11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>
      <c r="A175" s="11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>
      <c r="A176" s="11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>
      <c r="A177" s="11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>
      <c r="A178" s="11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>
      <c r="A179" s="11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>
      <c r="A180" s="11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>
      <c r="A181" s="11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>
      <c r="A182" s="11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>
      <c r="A183" s="11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>
      <c r="A184" s="11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>
      <c r="A185" s="11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>
      <c r="A186" s="11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>
      <c r="A187" s="11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>
      <c r="A188" s="11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>
      <c r="A189" s="11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11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>
      <c r="A191" s="11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>
      <c r="A192" s="11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>
      <c r="A193" s="11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>
      <c r="A194" s="11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>
      <c r="A195" s="11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>
      <c r="A196" s="11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>
      <c r="A197" s="11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>
      <c r="A198" s="11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>
      <c r="A199" s="11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>
      <c r="A200" s="11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>
      <c r="A201" s="11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>
      <c r="A202" s="11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>
      <c r="A203" s="11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11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>
      <c r="A205" s="11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>
      <c r="A206" s="11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11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11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>
      <c r="A209" s="11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11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>
      <c r="A211" s="11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>
      <c r="A212" s="11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>
      <c r="A213" s="11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>
      <c r="A214" s="11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>
      <c r="A215" s="11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>
      <c r="A216" s="11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>
      <c r="A217" s="11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>
      <c r="A218" s="11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>
      <c r="A219" s="11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>
      <c r="A220" s="11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>
      <c r="A221" s="11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>
      <c r="A222" s="11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>
      <c r="A223" s="11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>
      <c r="A224" s="11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>
      <c r="A225" s="11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>
      <c r="A226" s="11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>
      <c r="A227" s="11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>
      <c r="A228" s="11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>
      <c r="A229" s="11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>
      <c r="A230" s="11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>
      <c r="A231" s="11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>
      <c r="A232" s="11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11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>
      <c r="A234" s="11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11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>
      <c r="A236" s="11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>
      <c r="A237" s="11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11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>
      <c r="A239" s="11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11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11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11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11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11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11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>
      <c r="A246" s="11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>
      <c r="A247" s="11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>
      <c r="A248" s="11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>
      <c r="A249" s="11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11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>
      <c r="A251" s="11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>
      <c r="A252" s="11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11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>
      <c r="A254" s="11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11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>
      <c r="A256" s="11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>
      <c r="A257" s="11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11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>
      <c r="A259" s="11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11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>
      <c r="A261" s="11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>
      <c r="A262" s="11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>
      <c r="A263" s="11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>
      <c r="A264" s="11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>
      <c r="A265" s="11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>
      <c r="A266" s="11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>
      <c r="A267" s="11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>
      <c r="A268" s="11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>
      <c r="A269" s="11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>
      <c r="A270" s="11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>
      <c r="A271" s="11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>
      <c r="A272" s="11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>
      <c r="A273" s="11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>
      <c r="A274" s="11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>
      <c r="A275" s="11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>
      <c r="A276" s="11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>
      <c r="A277" s="11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>
      <c r="A278" s="11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>
      <c r="A279" s="11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>
      <c r="A280" s="11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>
      <c r="A281" s="11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>
      <c r="A282" s="11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>
      <c r="A283" s="11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>
      <c r="A284" s="11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>
      <c r="A285" s="11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>
      <c r="A286" s="11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>
      <c r="A287" s="11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>
      <c r="A288" s="11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>
      <c r="A289" s="11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>
      <c r="A290" s="11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>
      <c r="A291" s="11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>
      <c r="A292" s="11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>
      <c r="A293" s="11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>
      <c r="A294" s="11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>
      <c r="A295" s="11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>
      <c r="A296" s="11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>
      <c r="A297" s="11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>
      <c r="A298" s="11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>
      <c r="A299" s="11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>
      <c r="A300" s="11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>
      <c r="A301" s="11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>
      <c r="A302" s="11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>
      <c r="A303" s="11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>
      <c r="A304" s="11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>
      <c r="A305" s="11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>
      <c r="A306" s="11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>
      <c r="A307" s="11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>
      <c r="A308" s="11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>
      <c r="A309" s="11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>
      <c r="A310" s="11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>
      <c r="A311" s="11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>
      <c r="A312" s="11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>
      <c r="A313" s="11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>
      <c r="A314" s="11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>
      <c r="A315" s="11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>
      <c r="A316" s="11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>
      <c r="A317" s="11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>
      <c r="A318" s="11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>
      <c r="A319" s="11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>
      <c r="A320" s="11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>
      <c r="A321" s="11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>
      <c r="A322" s="11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>
      <c r="A323" s="11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>
      <c r="A324" s="11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>
      <c r="A325" s="11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>
      <c r="A326" s="11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>
      <c r="A327" s="11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>
      <c r="A328" s="11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>
      <c r="A329" s="11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>
      <c r="A330" s="11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>
      <c r="A331" s="11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>
      <c r="A332" s="11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>
      <c r="A333" s="11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>
      <c r="A334" s="11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>
      <c r="A335" s="11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>
      <c r="A336" s="11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>
      <c r="A337" s="11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>
      <c r="A338" s="11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>
      <c r="A339" s="11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>
      <c r="A340" s="11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>
      <c r="A341" s="11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>
      <c r="A342" s="11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>
      <c r="A343" s="11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>
      <c r="A344" s="11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>
      <c r="A345" s="11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>
      <c r="A346" s="11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>
      <c r="A347" s="11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>
      <c r="A348" s="11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>
      <c r="A349" s="11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>
      <c r="A350" s="11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>
      <c r="A351" s="11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>
      <c r="A352" s="11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>
      <c r="A353" s="11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>
      <c r="A354" s="11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>
      <c r="A355" s="11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>
      <c r="A356" s="11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>
      <c r="A357" s="11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>
      <c r="A358" s="11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>
      <c r="A359" s="11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>
      <c r="A360" s="11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>
      <c r="A361" s="11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>
      <c r="A362" s="11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>
      <c r="A363" s="11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>
      <c r="A364" s="11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>
      <c r="A365" s="11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>
      <c r="A366" s="11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>
      <c r="A367" s="11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>
      <c r="A368" s="11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>
      <c r="A369" s="11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>
      <c r="A370" s="11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>
      <c r="A371" s="11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>
      <c r="A372" s="11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>
      <c r="A373" s="11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>
      <c r="A374" s="11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>
      <c r="A375" s="11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>
      <c r="A376" s="11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>
      <c r="A377" s="11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>
      <c r="A378" s="11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>
      <c r="A379" s="11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>
      <c r="A380" s="11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>
      <c r="A381" s="11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>
      <c r="A382" s="11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>
      <c r="A383" s="11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>
      <c r="A384" s="11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>
      <c r="A385" s="11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>
      <c r="A386" s="11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>
      <c r="A387" s="11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>
      <c r="A388" s="11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>
      <c r="A389" s="11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>
      <c r="A390" s="11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>
      <c r="A391" s="11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>
      <c r="A392" s="11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>
      <c r="A393" s="11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>
      <c r="A394" s="11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>
      <c r="A395" s="11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>
      <c r="A396" s="11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>
      <c r="A397" s="11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>
      <c r="A398" s="11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>
      <c r="A399" s="11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>
      <c r="A400" s="11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>
      <c r="A401" s="11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>
      <c r="A402" s="11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>
      <c r="A403" s="11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>
      <c r="A404" s="11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>
      <c r="A405" s="11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>
      <c r="A406" s="11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>
      <c r="A407" s="11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>
      <c r="A408" s="11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>
      <c r="A409" s="11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>
      <c r="A410" s="11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>
      <c r="A411" s="11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>
      <c r="A412" s="11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>
      <c r="A413" s="11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>
      <c r="A414" s="11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>
      <c r="A415" s="11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>
      <c r="A416" s="11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>
      <c r="A417" s="11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>
      <c r="A418" s="11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>
      <c r="A419" s="11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>
      <c r="A420" s="11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>
      <c r="A421" s="11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>
      <c r="A422" s="11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>
      <c r="A423" s="11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>
      <c r="A424" s="11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>
      <c r="A425" s="11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>
      <c r="A426" s="11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>
      <c r="A427" s="11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>
      <c r="A428" s="11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>
      <c r="A429" s="11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>
      <c r="A430" s="11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>
      <c r="A431" s="11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>
      <c r="A432" s="11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>
      <c r="A433" s="11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>
      <c r="A434" s="11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>
      <c r="A435" s="11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>
      <c r="A436" s="11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>
      <c r="A437" s="11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>
      <c r="A438" s="11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>
      <c r="A439" s="11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>
      <c r="A440" s="11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>
      <c r="A441" s="11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>
      <c r="A442" s="11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>
      <c r="A443" s="11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>
      <c r="A444" s="11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>
      <c r="A445" s="11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>
      <c r="A446" s="11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>
      <c r="A447" s="11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>
      <c r="A448" s="11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>
      <c r="A449" s="11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>
      <c r="A450" s="11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>
      <c r="A451" s="11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>
      <c r="A452" s="11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>
      <c r="A453" s="11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>
      <c r="A454" s="11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>
      <c r="A455" s="11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>
      <c r="A456" s="11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>
      <c r="A457" s="11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>
      <c r="A458" s="11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>
      <c r="A459" s="11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>
      <c r="A460" s="11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>
      <c r="A461" s="11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>
      <c r="A462" s="11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>
      <c r="A463" s="11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>
      <c r="A464" s="11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>
      <c r="A465" s="11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>
      <c r="A466" s="11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>
      <c r="A467" s="11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>
      <c r="A468" s="11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>
      <c r="A469" s="11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>
      <c r="A470" s="11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>
      <c r="A471" s="11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>
      <c r="A472" s="11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>
      <c r="A473" s="11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>
      <c r="A474" s="11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>
      <c r="A475" s="11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>
      <c r="A476" s="11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>
      <c r="A477" s="11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>
      <c r="A478" s="11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>
      <c r="A479" s="11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>
      <c r="A480" s="11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>
      <c r="A481" s="11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>
      <c r="A482" s="11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>
      <c r="A483" s="11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>
      <c r="A484" s="11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>
      <c r="A485" s="11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>
      <c r="A486" s="11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>
      <c r="A487" s="11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>
      <c r="A488" s="11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>
      <c r="A489" s="11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>
      <c r="A490" s="11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>
      <c r="A491" s="11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>
      <c r="A492" s="11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>
      <c r="A493" s="11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>
      <c r="A494" s="11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>
      <c r="A495" s="11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>
      <c r="A496" s="11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>
      <c r="A497" s="11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>
      <c r="A498" s="11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>
      <c r="A499" s="11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>
      <c r="A500" s="11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>
      <c r="A501" s="11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>
      <c r="A502" s="11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>
      <c r="A503" s="11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>
      <c r="A504" s="11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>
      <c r="A505" s="11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>
      <c r="A506" s="11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>
      <c r="A507" s="11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>
      <c r="A508" s="11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>
      <c r="A509" s="11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>
      <c r="A510" s="11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>
      <c r="A511" s="11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>
      <c r="A512" s="11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>
      <c r="A513" s="11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>
      <c r="A514" s="11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>
      <c r="A515" s="11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>
      <c r="A516" s="11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>
      <c r="A517" s="11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>
      <c r="A518" s="11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>
      <c r="A519" s="11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>
      <c r="A520" s="11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>
      <c r="A521" s="11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>
      <c r="A522" s="11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>
      <c r="A523" s="11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>
      <c r="A524" s="11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>
      <c r="A525" s="11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>
      <c r="A526" s="11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>
      <c r="A527" s="11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>
      <c r="A528" s="11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>
      <c r="A529" s="11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>
      <c r="A530" s="11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>
      <c r="A531" s="11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>
      <c r="A532" s="11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>
      <c r="A533" s="11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>
      <c r="A534" s="11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>
      <c r="A535" s="11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>
      <c r="A536" s="11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>
      <c r="A537" s="11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>
      <c r="A538" s="11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>
      <c r="A539" s="11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>
      <c r="A540" s="11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>
      <c r="A541" s="11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>
      <c r="A542" s="11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>
      <c r="A543" s="11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>
      <c r="A544" s="11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>
      <c r="A545" s="11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>
      <c r="A546" s="11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>
      <c r="A547" s="11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>
      <c r="A548" s="11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>
      <c r="A549" s="11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>
      <c r="A550" s="11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>
      <c r="A551" s="11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>
      <c r="A552" s="11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>
      <c r="A553" s="11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>
      <c r="A554" s="11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>
      <c r="A555" s="11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>
      <c r="A556" s="11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>
      <c r="A557" s="11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>
      <c r="A558" s="11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>
      <c r="A559" s="11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>
      <c r="A560" s="11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>
      <c r="A561" s="11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>
      <c r="A562" s="11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>
      <c r="A563" s="11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>
      <c r="A564" s="11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>
      <c r="A565" s="11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>
      <c r="A566" s="11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>
      <c r="A567" s="11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>
      <c r="A568" s="11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>
      <c r="A569" s="11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>
      <c r="A570" s="11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>
      <c r="A571" s="11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>
      <c r="A572" s="11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>
      <c r="A573" s="11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>
      <c r="A574" s="11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>
      <c r="A575" s="11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>
      <c r="A576" s="11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>
      <c r="A577" s="11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>
      <c r="A578" s="11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>
      <c r="A579" s="11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>
      <c r="A580" s="11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>
      <c r="A581" s="11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>
      <c r="A582" s="11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>
      <c r="A583" s="11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>
      <c r="A584" s="11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>
      <c r="A585" s="11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>
      <c r="A586" s="11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>
      <c r="A587" s="11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>
      <c r="A588" s="11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>
      <c r="A589" s="11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>
      <c r="A590" s="11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>
      <c r="A591" s="11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>
      <c r="A592" s="11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>
      <c r="A593" s="11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>
      <c r="A594" s="11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>
      <c r="A595" s="11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>
      <c r="A596" s="11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>
      <c r="A597" s="11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>
      <c r="A598" s="11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>
      <c r="A599" s="11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>
      <c r="A600" s="11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>
      <c r="A601" s="11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>
      <c r="A602" s="11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>
      <c r="A603" s="11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>
      <c r="A604" s="11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>
      <c r="A605" s="11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>
      <c r="A606" s="11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>
      <c r="A607" s="11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>
      <c r="A608" s="11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>
      <c r="A609" s="11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>
      <c r="A610" s="11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>
      <c r="A611" s="11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>
      <c r="A612" s="11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>
      <c r="A613" s="11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>
      <c r="A614" s="11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>
      <c r="A615" s="11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>
      <c r="A616" s="11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>
      <c r="A617" s="11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>
      <c r="A618" s="11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>
      <c r="A619" s="11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>
      <c r="A620" s="11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>
      <c r="A621" s="11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>
      <c r="A622" s="11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>
      <c r="A623" s="11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>
      <c r="A624" s="11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>
      <c r="A625" s="11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>
      <c r="A626" s="11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>
      <c r="A627" s="11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>
      <c r="A628" s="11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>
      <c r="A629" s="11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>
      <c r="A630" s="11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>
      <c r="A631" s="11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>
      <c r="A632" s="11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>
      <c r="A633" s="11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>
      <c r="A634" s="11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>
      <c r="A635" s="11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>
      <c r="A636" s="11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>
      <c r="A637" s="11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>
      <c r="A638" s="11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>
      <c r="A639" s="11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>
      <c r="A640" s="11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>
      <c r="A641" s="11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>
      <c r="A642" s="11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>
      <c r="A643" s="11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>
      <c r="A644" s="11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>
      <c r="A645" s="11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>
      <c r="A646" s="11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>
      <c r="A647" s="11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>
      <c r="A648" s="11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>
      <c r="A649" s="11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>
      <c r="A650" s="11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>
      <c r="A651" s="11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>
      <c r="A652" s="11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>
      <c r="A653" s="11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>
      <c r="A654" s="11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>
      <c r="A655" s="11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>
      <c r="A656" s="11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>
      <c r="A657" s="11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>
      <c r="A658" s="11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>
      <c r="A659" s="11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>
      <c r="A660" s="11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>
      <c r="A661" s="11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>
      <c r="A662" s="11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>
      <c r="A663" s="11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>
      <c r="A664" s="11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>
      <c r="A665" s="11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>
      <c r="A666" s="11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>
      <c r="A667" s="11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>
      <c r="A668" s="11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>
      <c r="A669" s="11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>
      <c r="A670" s="11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>
      <c r="A671" s="11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>
      <c r="A672" s="11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>
      <c r="A673" s="11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>
      <c r="A674" s="11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>
      <c r="A675" s="11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>
      <c r="A676" s="11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>
      <c r="A677" s="11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>
      <c r="A678" s="11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>
      <c r="A679" s="11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>
      <c r="A680" s="11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>
      <c r="A681" s="11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>
      <c r="A682" s="11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>
      <c r="A683" s="11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>
      <c r="A684" s="11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>
      <c r="A685" s="11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>
      <c r="A686" s="11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>
      <c r="A687" s="11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>
      <c r="A688" s="11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>
      <c r="A689" s="11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>
      <c r="A690" s="11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>
      <c r="A691" s="11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>
      <c r="A692" s="11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>
      <c r="A693" s="11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>
      <c r="A694" s="11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>
      <c r="A695" s="11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>
      <c r="A696" s="11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>
      <c r="A697" s="11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>
      <c r="A698" s="11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>
      <c r="A699" s="11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>
      <c r="A700" s="11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>
      <c r="A701" s="11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>
      <c r="A702" s="11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>
      <c r="A703" s="11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>
      <c r="A704" s="11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>
      <c r="A705" s="11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>
      <c r="A706" s="11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>
      <c r="A707" s="11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>
      <c r="A708" s="11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>
      <c r="A709" s="11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>
      <c r="A710" s="11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>
      <c r="A711" s="11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>
      <c r="A712" s="11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>
      <c r="A713" s="11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>
      <c r="A714" s="11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>
      <c r="A715" s="11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>
      <c r="A716" s="11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>
      <c r="A717" s="11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>
      <c r="A718" s="11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>
      <c r="A719" s="11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>
      <c r="A720" s="11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>
      <c r="A721" s="11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>
      <c r="A722" s="11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>
      <c r="A723" s="11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>
      <c r="A724" s="11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>
      <c r="A725" s="11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>
      <c r="A726" s="11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>
      <c r="A727" s="11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>
      <c r="A728" s="11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>
      <c r="A729" s="11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>
      <c r="A730" s="11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>
      <c r="A731" s="11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>
      <c r="A732" s="11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>
      <c r="A733" s="11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>
      <c r="A734" s="11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>
      <c r="A735" s="11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>
      <c r="A736" s="11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>
      <c r="A737" s="11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>
      <c r="A738" s="11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>
      <c r="A739" s="11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>
      <c r="A740" s="11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>
      <c r="A741" s="11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>
      <c r="A742" s="11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>
      <c r="A743" s="11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>
      <c r="A744" s="11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>
      <c r="A745" s="11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>
      <c r="A746" s="11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>
      <c r="A747" s="11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>
      <c r="A748" s="11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>
      <c r="A749" s="11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>
      <c r="A750" s="11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>
      <c r="A751" s="11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>
      <c r="A752" s="11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>
      <c r="A753" s="11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>
      <c r="A754" s="11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>
      <c r="A755" s="11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>
      <c r="A756" s="11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>
      <c r="A757" s="11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>
      <c r="A758" s="11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>
      <c r="A759" s="11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>
      <c r="A760" s="11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>
      <c r="A761" s="11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>
      <c r="A762" s="11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>
      <c r="A763" s="11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>
      <c r="A764" s="11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>
      <c r="A765" s="11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>
      <c r="A766" s="11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>
      <c r="A767" s="11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>
      <c r="A768" s="11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>
      <c r="A769" s="11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>
      <c r="A770" s="11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>
      <c r="A771" s="11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>
      <c r="A772" s="11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>
      <c r="A773" s="11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>
      <c r="A774" s="11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>
      <c r="A775" s="11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>
      <c r="A776" s="11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>
      <c r="A777" s="11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>
      <c r="A778" s="11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>
      <c r="A779" s="11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>
      <c r="A780" s="11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>
      <c r="A781" s="11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>
      <c r="A782" s="11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>
      <c r="A783" s="11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>
      <c r="A784" s="11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>
      <c r="A785" s="11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>
      <c r="A786" s="11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>
      <c r="A787" s="11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>
      <c r="A788" s="11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>
      <c r="A789" s="11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>
      <c r="A790" s="11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>
      <c r="A791" s="11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>
      <c r="A792" s="11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>
      <c r="A793" s="11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>
      <c r="A794" s="11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>
      <c r="A795" s="11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>
      <c r="A796" s="11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>
      <c r="A797" s="11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>
      <c r="A798" s="11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>
      <c r="A799" s="11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>
      <c r="A800" s="11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>
      <c r="A801" s="11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>
      <c r="A802" s="11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>
      <c r="A803" s="11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>
      <c r="A804" s="11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>
      <c r="A805" s="11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>
      <c r="A806" s="11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>
      <c r="A807" s="11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>
      <c r="A808" s="11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>
      <c r="A809" s="11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>
      <c r="A810" s="11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>
      <c r="A811" s="11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>
      <c r="A812" s="11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>
      <c r="A813" s="11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>
      <c r="A814" s="11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>
      <c r="A815" s="11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>
      <c r="A816" s="11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>
      <c r="A817" s="11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>
      <c r="A818" s="11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>
      <c r="A819" s="11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>
      <c r="A820" s="11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>
      <c r="A821" s="11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>
      <c r="A822" s="11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>
      <c r="A823" s="11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>
      <c r="A824" s="11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>
      <c r="A825" s="11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>
      <c r="A826" s="11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>
      <c r="A827" s="11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>
      <c r="A828" s="11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>
      <c r="A829" s="11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>
      <c r="A830" s="11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>
      <c r="A831" s="11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>
      <c r="A832" s="11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>
      <c r="A833" s="11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>
      <c r="A834" s="11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>
      <c r="A835" s="11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>
      <c r="A836" s="11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>
      <c r="A837" s="11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>
      <c r="A838" s="11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>
      <c r="A839" s="11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>
      <c r="A840" s="11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>
      <c r="A841" s="11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>
      <c r="A842" s="11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>
      <c r="A843" s="11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>
      <c r="A844" s="11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>
      <c r="A845" s="11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>
      <c r="A846" s="11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>
      <c r="A847" s="11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>
      <c r="A848" s="11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>
      <c r="A849" s="11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>
      <c r="A850" s="11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>
      <c r="A851" s="11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>
      <c r="A852" s="11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>
      <c r="A853" s="11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>
      <c r="A854" s="11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>
      <c r="A855" s="11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>
      <c r="A856" s="11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>
      <c r="A857" s="11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>
      <c r="A858" s="11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>
      <c r="A859" s="11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>
      <c r="A860" s="11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>
      <c r="A861" s="11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>
      <c r="A862" s="11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>
      <c r="A863" s="11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>
      <c r="A864" s="11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>
      <c r="A865" s="11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>
      <c r="A866" s="11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>
      <c r="A867" s="11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>
      <c r="A868" s="11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>
      <c r="A869" s="11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>
      <c r="A870" s="11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>
      <c r="A871" s="11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>
      <c r="A872" s="11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>
      <c r="A873" s="11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>
      <c r="A874" s="11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>
      <c r="A875" s="11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>
      <c r="A876" s="11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>
      <c r="A877" s="11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>
      <c r="A878" s="11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>
      <c r="A879" s="11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>
      <c r="A880" s="11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>
      <c r="A881" s="11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>
      <c r="A882" s="11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>
      <c r="A883" s="11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>
      <c r="A884" s="11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>
      <c r="A885" s="11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>
      <c r="A886" s="11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>
      <c r="A887" s="11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>
      <c r="A888" s="11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>
      <c r="A889" s="11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>
      <c r="A890" s="11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>
      <c r="A891" s="11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>
      <c r="A892" s="11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>
      <c r="A893" s="11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>
      <c r="A894" s="11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>
      <c r="A895" s="11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>
      <c r="A896" s="11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>
      <c r="A897" s="11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>
      <c r="A898" s="11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>
      <c r="A899" s="11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>
      <c r="A900" s="11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>
      <c r="A901" s="11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>
      <c r="A902" s="11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>
      <c r="A903" s="11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>
      <c r="A904" s="11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>
      <c r="A905" s="11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>
      <c r="A906" s="11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>
      <c r="A907" s="11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>
      <c r="A908" s="11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>
      <c r="A909" s="11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>
      <c r="A910" s="11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>
      <c r="A911" s="11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>
      <c r="A912" s="11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>
      <c r="A913" s="11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>
      <c r="A914" s="11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>
      <c r="A915" s="11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>
      <c r="A916" s="11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>
      <c r="A917" s="11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>
      <c r="A918" s="11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>
      <c r="A919" s="11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>
      <c r="A920" s="11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>
      <c r="A921" s="11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>
      <c r="A922" s="11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>
      <c r="A923" s="11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>
      <c r="A924" s="11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>
      <c r="A925" s="11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>
      <c r="A926" s="11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>
      <c r="A927" s="11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>
      <c r="A928" s="11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>
      <c r="A929" s="11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>
      <c r="A930" s="11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>
      <c r="A931" s="11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>
      <c r="A932" s="11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>
      <c r="A933" s="11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>
      <c r="A934" s="11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>
      <c r="A935" s="11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>
      <c r="A936" s="11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>
      <c r="A937" s="11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>
      <c r="A938" s="11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>
      <c r="A939" s="11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>
      <c r="A940" s="11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>
      <c r="A941" s="11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>
      <c r="A942" s="11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>
      <c r="A943" s="11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>
      <c r="A944" s="11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>
      <c r="A945" s="11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>
      <c r="A946" s="11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>
      <c r="A947" s="11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>
      <c r="A948" s="11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>
      <c r="A949" s="11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>
      <c r="A950" s="11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>
      <c r="A951" s="11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>
      <c r="A952" s="11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>
      <c r="A953" s="11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>
      <c r="A954" s="11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>
      <c r="A955" s="11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>
      <c r="A956" s="11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>
      <c r="A957" s="11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>
      <c r="A958" s="11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>
      <c r="A959" s="11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>
      <c r="A960" s="11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>
      <c r="A961" s="11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>
      <c r="A962" s="11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>
      <c r="A963" s="11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>
      <c r="A964" s="11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>
      <c r="A965" s="11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>
      <c r="A966" s="11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>
      <c r="A967" s="11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>
      <c r="A968" s="11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>
      <c r="A969" s="11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>
      <c r="A970" s="11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>
      <c r="A971" s="11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>
      <c r="A972" s="11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>
      <c r="A973" s="11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>
      <c r="A974" s="11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>
      <c r="A975" s="11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>
      <c r="A976" s="11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>
      <c r="A977" s="11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>
      <c r="A978" s="11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>
      <c r="A979" s="11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>
      <c r="A980" s="11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>
      <c r="A981" s="11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>
      <c r="A982" s="11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>
      <c r="A983" s="11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>
      <c r="A984" s="11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>
      <c r="A985" s="11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</sheetData>
  <dataValidations>
    <dataValidation type="list" allowBlank="1" showErrorMessage="1" sqref="K3:K985">
      <formula1>"Each,Meters,mm"</formula1>
    </dataValidation>
  </dataValidations>
  <drawing r:id="rId1"/>
</worksheet>
</file>